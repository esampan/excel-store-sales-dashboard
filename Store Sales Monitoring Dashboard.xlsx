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7DF57B24-4A4D-4156-95EF-0D63916DD3D3}" xr6:coauthVersionLast="44" xr6:coauthVersionMax="44" xr10:uidLastSave="{00000000-0000-0000-0000-000000000000}"/>
  <bookViews>
    <workbookView xWindow="-120" yWindow="-120" windowWidth="29040" windowHeight="15840" activeTab="1" xr2:uid="{00000000-000D-0000-FFFF-FFFF00000000}"/>
  </bookViews>
  <sheets>
    <sheet name="DASHBOARD" sheetId="4" r:id="rId1"/>
    <sheet name="sale_data duplicate" sheetId="2" r:id="rId2"/>
    <sheet name="Tables_charts" sheetId="3" r:id="rId3"/>
    <sheet name="sale-data raw file" sheetId="1" r:id="rId4"/>
  </sheets>
  <definedNames>
    <definedName name="Slicer_Months">#N/A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calcFeatures>
    </ext>
    <ext uri="GoogleSheetsCustomDataVersion2">
      <go:sheetsCustomData xmlns:go="http://customooxmlschemas.google.com/" r:id="rId7" roundtripDataChecksum="xHy/ZCPUew2LqoRllGD9us5lLYCJOLUHbZFWQ2o3EpY="/>
    </ext>
  </extLst>
</workbook>
</file>

<file path=xl/calcChain.xml><?xml version="1.0" encoding="utf-8"?>
<calcChain xmlns="http://schemas.openxmlformats.org/spreadsheetml/2006/main">
  <c r="S4" i="3" l="1"/>
  <c r="S5" i="3" s="1"/>
  <c r="S6" i="3" s="1"/>
  <c r="S8" i="3"/>
  <c r="J7" i="2" l="1"/>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J37" i="2" l="1"/>
  <c r="J73" i="2"/>
  <c r="J109" i="2"/>
  <c r="J145" i="2"/>
  <c r="J199" i="2"/>
  <c r="J307" i="2"/>
  <c r="F2" i="2"/>
  <c r="J2" i="2" s="1"/>
  <c r="F3" i="2"/>
  <c r="J3" i="2" s="1"/>
  <c r="F4" i="2"/>
  <c r="J4" i="2" s="1"/>
  <c r="F5" i="2"/>
  <c r="J5" i="2" s="1"/>
  <c r="F6" i="2"/>
  <c r="J6" i="2" s="1"/>
  <c r="F7" i="2"/>
  <c r="F8" i="2"/>
  <c r="J8" i="2" s="1"/>
  <c r="F9" i="2"/>
  <c r="J9" i="2" s="1"/>
  <c r="F10" i="2"/>
  <c r="J10" i="2" s="1"/>
  <c r="F11" i="2"/>
  <c r="J11" i="2" s="1"/>
  <c r="F12" i="2"/>
  <c r="J12" i="2" s="1"/>
  <c r="F13" i="2"/>
  <c r="J13" i="2" s="1"/>
  <c r="F14" i="2"/>
  <c r="J14" i="2" s="1"/>
  <c r="F15" i="2"/>
  <c r="J15" i="2" s="1"/>
  <c r="F16" i="2"/>
  <c r="J16" i="2" s="1"/>
  <c r="F17" i="2"/>
  <c r="J17" i="2" s="1"/>
  <c r="F18" i="2"/>
  <c r="J18" i="2" s="1"/>
  <c r="F19" i="2"/>
  <c r="J19" i="2" s="1"/>
  <c r="F20" i="2"/>
  <c r="J20" i="2" s="1"/>
  <c r="F21" i="2"/>
  <c r="J21" i="2" s="1"/>
  <c r="F22" i="2"/>
  <c r="J22" i="2" s="1"/>
  <c r="F23" i="2"/>
  <c r="J23" i="2" s="1"/>
  <c r="F24" i="2"/>
  <c r="J24" i="2" s="1"/>
  <c r="F25" i="2"/>
  <c r="J25" i="2" s="1"/>
  <c r="F26" i="2"/>
  <c r="J26" i="2" s="1"/>
  <c r="F27" i="2"/>
  <c r="J27" i="2" s="1"/>
  <c r="F28" i="2"/>
  <c r="J28" i="2" s="1"/>
  <c r="F29" i="2"/>
  <c r="J29" i="2" s="1"/>
  <c r="F30" i="2"/>
  <c r="J30" i="2" s="1"/>
  <c r="F31" i="2"/>
  <c r="J31" i="2" s="1"/>
  <c r="F32" i="2"/>
  <c r="J32" i="2" s="1"/>
  <c r="F33" i="2"/>
  <c r="J33" i="2" s="1"/>
  <c r="F34" i="2"/>
  <c r="J34" i="2" s="1"/>
  <c r="F35" i="2"/>
  <c r="J35" i="2" s="1"/>
  <c r="F36" i="2"/>
  <c r="J36" i="2" s="1"/>
  <c r="F37" i="2"/>
  <c r="F38" i="2"/>
  <c r="J38" i="2" s="1"/>
  <c r="F39" i="2"/>
  <c r="J39" i="2" s="1"/>
  <c r="F40" i="2"/>
  <c r="J40" i="2" s="1"/>
  <c r="F41" i="2"/>
  <c r="J41" i="2" s="1"/>
  <c r="F42" i="2"/>
  <c r="J42" i="2" s="1"/>
  <c r="F43" i="2"/>
  <c r="J43" i="2" s="1"/>
  <c r="F44" i="2"/>
  <c r="J44" i="2" s="1"/>
  <c r="F45" i="2"/>
  <c r="J45" i="2" s="1"/>
  <c r="F46" i="2"/>
  <c r="J46" i="2" s="1"/>
  <c r="F47" i="2"/>
  <c r="J47" i="2" s="1"/>
  <c r="F48" i="2"/>
  <c r="J48" i="2" s="1"/>
  <c r="F49" i="2"/>
  <c r="J49" i="2" s="1"/>
  <c r="F50" i="2"/>
  <c r="J50" i="2" s="1"/>
  <c r="F51" i="2"/>
  <c r="J51" i="2" s="1"/>
  <c r="F52" i="2"/>
  <c r="J52" i="2" s="1"/>
  <c r="F53" i="2"/>
  <c r="J53" i="2" s="1"/>
  <c r="F54" i="2"/>
  <c r="J54" i="2" s="1"/>
  <c r="F55" i="2"/>
  <c r="J55" i="2" s="1"/>
  <c r="F56" i="2"/>
  <c r="J56" i="2" s="1"/>
  <c r="F57" i="2"/>
  <c r="J57" i="2" s="1"/>
  <c r="F58" i="2"/>
  <c r="J58" i="2" s="1"/>
  <c r="F59" i="2"/>
  <c r="J59" i="2" s="1"/>
  <c r="F60" i="2"/>
  <c r="J60" i="2" s="1"/>
  <c r="F61" i="2"/>
  <c r="J61" i="2" s="1"/>
  <c r="F62" i="2"/>
  <c r="J62" i="2" s="1"/>
  <c r="F63" i="2"/>
  <c r="J63" i="2" s="1"/>
  <c r="F64" i="2"/>
  <c r="J64" i="2" s="1"/>
  <c r="F65" i="2"/>
  <c r="J65" i="2" s="1"/>
  <c r="F66" i="2"/>
  <c r="J66" i="2" s="1"/>
  <c r="F67" i="2"/>
  <c r="J67" i="2" s="1"/>
  <c r="F68" i="2"/>
  <c r="J68" i="2" s="1"/>
  <c r="F69" i="2"/>
  <c r="J69" i="2" s="1"/>
  <c r="F70" i="2"/>
  <c r="J70" i="2" s="1"/>
  <c r="F71" i="2"/>
  <c r="J71" i="2" s="1"/>
  <c r="F72" i="2"/>
  <c r="J72" i="2" s="1"/>
  <c r="F73" i="2"/>
  <c r="F74" i="2"/>
  <c r="J74" i="2" s="1"/>
  <c r="F75" i="2"/>
  <c r="J75" i="2" s="1"/>
  <c r="F76" i="2"/>
  <c r="J76" i="2" s="1"/>
  <c r="F77" i="2"/>
  <c r="J77" i="2" s="1"/>
  <c r="F78" i="2"/>
  <c r="J78" i="2" s="1"/>
  <c r="F79" i="2"/>
  <c r="J79" i="2" s="1"/>
  <c r="F80" i="2"/>
  <c r="J80" i="2" s="1"/>
  <c r="F81" i="2"/>
  <c r="J81" i="2" s="1"/>
  <c r="F82" i="2"/>
  <c r="J82" i="2" s="1"/>
  <c r="F83" i="2"/>
  <c r="J83" i="2" s="1"/>
  <c r="F84" i="2"/>
  <c r="J84" i="2" s="1"/>
  <c r="F85" i="2"/>
  <c r="J85" i="2" s="1"/>
  <c r="F86" i="2"/>
  <c r="J86" i="2" s="1"/>
  <c r="F87" i="2"/>
  <c r="J87" i="2" s="1"/>
  <c r="F88" i="2"/>
  <c r="J88" i="2" s="1"/>
  <c r="F89" i="2"/>
  <c r="J89" i="2" s="1"/>
  <c r="F90" i="2"/>
  <c r="J90" i="2" s="1"/>
  <c r="F91" i="2"/>
  <c r="J91" i="2" s="1"/>
  <c r="F92" i="2"/>
  <c r="J92" i="2" s="1"/>
  <c r="F93" i="2"/>
  <c r="J93" i="2" s="1"/>
  <c r="F94" i="2"/>
  <c r="J94" i="2" s="1"/>
  <c r="F95" i="2"/>
  <c r="J95" i="2" s="1"/>
  <c r="F96" i="2"/>
  <c r="J96" i="2" s="1"/>
  <c r="F97" i="2"/>
  <c r="J97" i="2" s="1"/>
  <c r="F98" i="2"/>
  <c r="J98" i="2" s="1"/>
  <c r="F99" i="2"/>
  <c r="J99" i="2" s="1"/>
  <c r="F100" i="2"/>
  <c r="J100" i="2" s="1"/>
  <c r="F101" i="2"/>
  <c r="J101" i="2" s="1"/>
  <c r="F102" i="2"/>
  <c r="J102" i="2" s="1"/>
  <c r="F103" i="2"/>
  <c r="J103" i="2" s="1"/>
  <c r="F104" i="2"/>
  <c r="J104" i="2" s="1"/>
  <c r="F105" i="2"/>
  <c r="J105" i="2" s="1"/>
  <c r="F106" i="2"/>
  <c r="J106" i="2" s="1"/>
  <c r="F107" i="2"/>
  <c r="J107" i="2" s="1"/>
  <c r="F108" i="2"/>
  <c r="J108" i="2" s="1"/>
  <c r="F109" i="2"/>
  <c r="F110" i="2"/>
  <c r="J110" i="2" s="1"/>
  <c r="F111" i="2"/>
  <c r="J111" i="2" s="1"/>
  <c r="F112" i="2"/>
  <c r="J112" i="2" s="1"/>
  <c r="F113" i="2"/>
  <c r="J113" i="2" s="1"/>
  <c r="F114" i="2"/>
  <c r="J114" i="2" s="1"/>
  <c r="F115" i="2"/>
  <c r="J115" i="2" s="1"/>
  <c r="F116" i="2"/>
  <c r="J116" i="2" s="1"/>
  <c r="F117" i="2"/>
  <c r="J117" i="2" s="1"/>
  <c r="F118" i="2"/>
  <c r="J118" i="2" s="1"/>
  <c r="F119" i="2"/>
  <c r="J119" i="2" s="1"/>
  <c r="F120" i="2"/>
  <c r="J120" i="2" s="1"/>
  <c r="F121" i="2"/>
  <c r="J121" i="2" s="1"/>
  <c r="F122" i="2"/>
  <c r="J122" i="2" s="1"/>
  <c r="F123" i="2"/>
  <c r="J123" i="2" s="1"/>
  <c r="F124" i="2"/>
  <c r="J124" i="2" s="1"/>
  <c r="F125" i="2"/>
  <c r="J125" i="2" s="1"/>
  <c r="F126" i="2"/>
  <c r="J126" i="2" s="1"/>
  <c r="F127" i="2"/>
  <c r="J127" i="2" s="1"/>
  <c r="F128" i="2"/>
  <c r="J128" i="2" s="1"/>
  <c r="F129" i="2"/>
  <c r="J129" i="2" s="1"/>
  <c r="F130" i="2"/>
  <c r="J130" i="2" s="1"/>
  <c r="F131" i="2"/>
  <c r="J131" i="2" s="1"/>
  <c r="F132" i="2"/>
  <c r="J132" i="2" s="1"/>
  <c r="F133" i="2"/>
  <c r="J133" i="2" s="1"/>
  <c r="F134" i="2"/>
  <c r="J134" i="2" s="1"/>
  <c r="F135" i="2"/>
  <c r="J135" i="2" s="1"/>
  <c r="F136" i="2"/>
  <c r="J136" i="2" s="1"/>
  <c r="F137" i="2"/>
  <c r="J137" i="2" s="1"/>
  <c r="F138" i="2"/>
  <c r="J138" i="2" s="1"/>
  <c r="F139" i="2"/>
  <c r="J139" i="2" s="1"/>
  <c r="F140" i="2"/>
  <c r="J140" i="2" s="1"/>
  <c r="F141" i="2"/>
  <c r="J141" i="2" s="1"/>
  <c r="F142" i="2"/>
  <c r="J142" i="2" s="1"/>
  <c r="F143" i="2"/>
  <c r="J143" i="2" s="1"/>
  <c r="F144" i="2"/>
  <c r="J144" i="2" s="1"/>
  <c r="F145" i="2"/>
  <c r="F146" i="2"/>
  <c r="J146" i="2" s="1"/>
  <c r="F147" i="2"/>
  <c r="J147" i="2" s="1"/>
  <c r="F148" i="2"/>
  <c r="J148" i="2" s="1"/>
  <c r="F149" i="2"/>
  <c r="J149" i="2" s="1"/>
  <c r="F150" i="2"/>
  <c r="J150" i="2" s="1"/>
  <c r="F151" i="2"/>
  <c r="J151" i="2" s="1"/>
  <c r="F152" i="2"/>
  <c r="J152" i="2" s="1"/>
  <c r="F153" i="2"/>
  <c r="J153" i="2" s="1"/>
  <c r="F154" i="2"/>
  <c r="J154" i="2" s="1"/>
  <c r="F155" i="2"/>
  <c r="J155" i="2" s="1"/>
  <c r="F156" i="2"/>
  <c r="J156" i="2" s="1"/>
  <c r="F157" i="2"/>
  <c r="J157" i="2" s="1"/>
  <c r="F158" i="2"/>
  <c r="J158" i="2" s="1"/>
  <c r="F159" i="2"/>
  <c r="J159" i="2" s="1"/>
  <c r="F160" i="2"/>
  <c r="J160" i="2" s="1"/>
  <c r="F161" i="2"/>
  <c r="J161" i="2" s="1"/>
  <c r="F162" i="2"/>
  <c r="J162" i="2" s="1"/>
  <c r="F163" i="2"/>
  <c r="J163" i="2" s="1"/>
  <c r="F164" i="2"/>
  <c r="J164" i="2" s="1"/>
  <c r="F165" i="2"/>
  <c r="J165" i="2" s="1"/>
  <c r="F166" i="2"/>
  <c r="J166" i="2" s="1"/>
  <c r="F167" i="2"/>
  <c r="J167" i="2" s="1"/>
  <c r="F168" i="2"/>
  <c r="J168" i="2" s="1"/>
  <c r="F169" i="2"/>
  <c r="J169" i="2" s="1"/>
  <c r="F170" i="2"/>
  <c r="J170" i="2" s="1"/>
  <c r="F171" i="2"/>
  <c r="J171" i="2" s="1"/>
  <c r="F172" i="2"/>
  <c r="J172" i="2" s="1"/>
  <c r="F173" i="2"/>
  <c r="J173" i="2" s="1"/>
  <c r="F174" i="2"/>
  <c r="J174" i="2" s="1"/>
  <c r="F175" i="2"/>
  <c r="J175" i="2" s="1"/>
  <c r="F176" i="2"/>
  <c r="J176" i="2" s="1"/>
  <c r="F177" i="2"/>
  <c r="J177" i="2" s="1"/>
  <c r="F178" i="2"/>
  <c r="J178" i="2" s="1"/>
  <c r="F179" i="2"/>
  <c r="J179" i="2" s="1"/>
  <c r="F180" i="2"/>
  <c r="J180" i="2" s="1"/>
  <c r="F181" i="2"/>
  <c r="J181" i="2" s="1"/>
  <c r="F182" i="2"/>
  <c r="J182" i="2" s="1"/>
  <c r="F183" i="2"/>
  <c r="J183" i="2" s="1"/>
  <c r="F184" i="2"/>
  <c r="J184" i="2" s="1"/>
  <c r="F185" i="2"/>
  <c r="J185" i="2" s="1"/>
  <c r="F186" i="2"/>
  <c r="J186" i="2" s="1"/>
  <c r="F187" i="2"/>
  <c r="J187" i="2" s="1"/>
  <c r="F188" i="2"/>
  <c r="J188" i="2" s="1"/>
  <c r="F189" i="2"/>
  <c r="J189" i="2" s="1"/>
  <c r="F190" i="2"/>
  <c r="J190" i="2" s="1"/>
  <c r="F191" i="2"/>
  <c r="J191" i="2" s="1"/>
  <c r="F192" i="2"/>
  <c r="J192" i="2" s="1"/>
  <c r="F193" i="2"/>
  <c r="J193" i="2" s="1"/>
  <c r="F194" i="2"/>
  <c r="J194" i="2" s="1"/>
  <c r="F195" i="2"/>
  <c r="J195" i="2" s="1"/>
  <c r="F196" i="2"/>
  <c r="J196" i="2" s="1"/>
  <c r="F197" i="2"/>
  <c r="J197" i="2" s="1"/>
  <c r="F198" i="2"/>
  <c r="J198" i="2" s="1"/>
  <c r="F199" i="2"/>
  <c r="F200" i="2"/>
  <c r="J200" i="2" s="1"/>
  <c r="F201" i="2"/>
  <c r="J201" i="2" s="1"/>
  <c r="F202" i="2"/>
  <c r="J202" i="2" s="1"/>
  <c r="F203" i="2"/>
  <c r="J203" i="2" s="1"/>
  <c r="F204" i="2"/>
  <c r="J204" i="2" s="1"/>
  <c r="F205" i="2"/>
  <c r="J205" i="2" s="1"/>
  <c r="F206" i="2"/>
  <c r="J206" i="2" s="1"/>
  <c r="F207" i="2"/>
  <c r="J207" i="2" s="1"/>
  <c r="F208" i="2"/>
  <c r="J208" i="2" s="1"/>
  <c r="F209" i="2"/>
  <c r="J209" i="2" s="1"/>
  <c r="F210" i="2"/>
  <c r="J210" i="2" s="1"/>
  <c r="F211" i="2"/>
  <c r="J211" i="2" s="1"/>
  <c r="F212" i="2"/>
  <c r="J212" i="2" s="1"/>
  <c r="F213" i="2"/>
  <c r="J213" i="2" s="1"/>
  <c r="F214" i="2"/>
  <c r="J214" i="2" s="1"/>
  <c r="F215" i="2"/>
  <c r="J215" i="2" s="1"/>
  <c r="F216" i="2"/>
  <c r="J216" i="2" s="1"/>
  <c r="F217" i="2"/>
  <c r="J217" i="2" s="1"/>
  <c r="F218" i="2"/>
  <c r="J218" i="2" s="1"/>
  <c r="F219" i="2"/>
  <c r="J219" i="2" s="1"/>
  <c r="F220" i="2"/>
  <c r="J220" i="2" s="1"/>
  <c r="F221" i="2"/>
  <c r="J221" i="2" s="1"/>
  <c r="F222" i="2"/>
  <c r="J222" i="2" s="1"/>
  <c r="F223" i="2"/>
  <c r="J223" i="2" s="1"/>
  <c r="F224" i="2"/>
  <c r="J224" i="2" s="1"/>
  <c r="F225" i="2"/>
  <c r="J225" i="2" s="1"/>
  <c r="F226" i="2"/>
  <c r="J226" i="2" s="1"/>
  <c r="F227" i="2"/>
  <c r="J227" i="2" s="1"/>
  <c r="F228" i="2"/>
  <c r="J228" i="2" s="1"/>
  <c r="F229" i="2"/>
  <c r="J229" i="2" s="1"/>
  <c r="F230" i="2"/>
  <c r="J230" i="2" s="1"/>
  <c r="F231" i="2"/>
  <c r="J231" i="2" s="1"/>
  <c r="F232" i="2"/>
  <c r="J232" i="2" s="1"/>
  <c r="F233" i="2"/>
  <c r="J233" i="2" s="1"/>
  <c r="F234" i="2"/>
  <c r="J234" i="2" s="1"/>
  <c r="F235" i="2"/>
  <c r="J235" i="2" s="1"/>
  <c r="F236" i="2"/>
  <c r="J236" i="2" s="1"/>
  <c r="F237" i="2"/>
  <c r="J237" i="2" s="1"/>
  <c r="F238" i="2"/>
  <c r="J238" i="2" s="1"/>
  <c r="F239" i="2"/>
  <c r="J239" i="2" s="1"/>
  <c r="F240" i="2"/>
  <c r="J240" i="2" s="1"/>
  <c r="F241" i="2"/>
  <c r="J241" i="2" s="1"/>
  <c r="F242" i="2"/>
  <c r="J242" i="2" s="1"/>
  <c r="F243" i="2"/>
  <c r="J243" i="2" s="1"/>
  <c r="F244" i="2"/>
  <c r="J244" i="2" s="1"/>
  <c r="F245" i="2"/>
  <c r="J245" i="2" s="1"/>
  <c r="F246" i="2"/>
  <c r="J246" i="2" s="1"/>
  <c r="F247" i="2"/>
  <c r="J247" i="2" s="1"/>
  <c r="F248" i="2"/>
  <c r="J248" i="2" s="1"/>
  <c r="F249" i="2"/>
  <c r="J249" i="2" s="1"/>
  <c r="F250" i="2"/>
  <c r="J250" i="2" s="1"/>
  <c r="F251" i="2"/>
  <c r="J251" i="2" s="1"/>
  <c r="F252" i="2"/>
  <c r="J252" i="2" s="1"/>
  <c r="F253" i="2"/>
  <c r="J253" i="2" s="1"/>
  <c r="F254" i="2"/>
  <c r="J254" i="2" s="1"/>
  <c r="F255" i="2"/>
  <c r="J255" i="2" s="1"/>
  <c r="F256" i="2"/>
  <c r="J256" i="2" s="1"/>
  <c r="F257" i="2"/>
  <c r="J257" i="2" s="1"/>
  <c r="F258" i="2"/>
  <c r="J258" i="2" s="1"/>
  <c r="F259" i="2"/>
  <c r="J259" i="2" s="1"/>
  <c r="F260" i="2"/>
  <c r="J260" i="2" s="1"/>
  <c r="F261" i="2"/>
  <c r="J261" i="2" s="1"/>
  <c r="F262" i="2"/>
  <c r="J262" i="2" s="1"/>
  <c r="F263" i="2"/>
  <c r="J263" i="2" s="1"/>
  <c r="F264" i="2"/>
  <c r="J264" i="2" s="1"/>
  <c r="F265" i="2"/>
  <c r="J265" i="2" s="1"/>
  <c r="F266" i="2"/>
  <c r="J266" i="2" s="1"/>
  <c r="F267" i="2"/>
  <c r="J267" i="2" s="1"/>
  <c r="F268" i="2"/>
  <c r="J268" i="2" s="1"/>
  <c r="F269" i="2"/>
  <c r="J269" i="2" s="1"/>
  <c r="F270" i="2"/>
  <c r="J270" i="2" s="1"/>
  <c r="F271" i="2"/>
  <c r="J271" i="2" s="1"/>
  <c r="F272" i="2"/>
  <c r="J272" i="2" s="1"/>
  <c r="F273" i="2"/>
  <c r="J273" i="2" s="1"/>
  <c r="F274" i="2"/>
  <c r="J274" i="2" s="1"/>
  <c r="F275" i="2"/>
  <c r="J275" i="2" s="1"/>
  <c r="F276" i="2"/>
  <c r="J276" i="2" s="1"/>
  <c r="F277" i="2"/>
  <c r="J277" i="2" s="1"/>
  <c r="F278" i="2"/>
  <c r="J278" i="2" s="1"/>
  <c r="F279" i="2"/>
  <c r="J279" i="2" s="1"/>
  <c r="F280" i="2"/>
  <c r="J280" i="2" s="1"/>
  <c r="F281" i="2"/>
  <c r="J281" i="2" s="1"/>
  <c r="F282" i="2"/>
  <c r="J282" i="2" s="1"/>
  <c r="F283" i="2"/>
  <c r="J283" i="2" s="1"/>
  <c r="F284" i="2"/>
  <c r="J284" i="2" s="1"/>
  <c r="F285" i="2"/>
  <c r="J285" i="2" s="1"/>
  <c r="F286" i="2"/>
  <c r="J286" i="2" s="1"/>
  <c r="F287" i="2"/>
  <c r="J287" i="2" s="1"/>
  <c r="F288" i="2"/>
  <c r="J288" i="2" s="1"/>
  <c r="F289" i="2"/>
  <c r="J289" i="2" s="1"/>
  <c r="F290" i="2"/>
  <c r="J290" i="2" s="1"/>
  <c r="F291" i="2"/>
  <c r="J291" i="2" s="1"/>
  <c r="F292" i="2"/>
  <c r="J292" i="2" s="1"/>
  <c r="F293" i="2"/>
  <c r="J293" i="2" s="1"/>
  <c r="F294" i="2"/>
  <c r="J294" i="2" s="1"/>
  <c r="F295" i="2"/>
  <c r="J295" i="2" s="1"/>
  <c r="F296" i="2"/>
  <c r="J296" i="2" s="1"/>
  <c r="F297" i="2"/>
  <c r="J297" i="2" s="1"/>
  <c r="F298" i="2"/>
  <c r="J298" i="2" s="1"/>
  <c r="F299" i="2"/>
  <c r="J299" i="2" s="1"/>
  <c r="F300" i="2"/>
  <c r="J300" i="2" s="1"/>
  <c r="F301" i="2"/>
  <c r="J301" i="2" s="1"/>
  <c r="F302" i="2"/>
  <c r="J302" i="2" s="1"/>
  <c r="F303" i="2"/>
  <c r="J303" i="2" s="1"/>
  <c r="F304" i="2"/>
  <c r="J304" i="2" s="1"/>
  <c r="F305" i="2"/>
  <c r="J305" i="2" s="1"/>
  <c r="F306" i="2"/>
  <c r="J306" i="2" s="1"/>
  <c r="F307" i="2"/>
  <c r="F308" i="2"/>
  <c r="J308" i="2" s="1"/>
  <c r="F309" i="2"/>
  <c r="J309" i="2" s="1"/>
  <c r="F310" i="2"/>
  <c r="J310" i="2" s="1"/>
  <c r="F311" i="2"/>
  <c r="J311" i="2" s="1"/>
  <c r="F312" i="2"/>
  <c r="J312" i="2" s="1"/>
  <c r="F313" i="2"/>
  <c r="J313" i="2" s="1"/>
  <c r="F314" i="2"/>
  <c r="J314" i="2" s="1"/>
  <c r="F315" i="2"/>
  <c r="J315" i="2" s="1"/>
  <c r="F316" i="2"/>
  <c r="J316" i="2" s="1"/>
  <c r="F317" i="2"/>
  <c r="J317" i="2" s="1"/>
  <c r="F318" i="2"/>
  <c r="J318" i="2" s="1"/>
  <c r="F319" i="2"/>
  <c r="J319" i="2" s="1"/>
  <c r="F320" i="2"/>
  <c r="J320" i="2" s="1"/>
  <c r="F321" i="2"/>
  <c r="J321" i="2" s="1"/>
  <c r="F322" i="2"/>
  <c r="J322" i="2" s="1"/>
  <c r="F323" i="2"/>
  <c r="J323" i="2" s="1"/>
  <c r="F324" i="2"/>
  <c r="J324" i="2" s="1"/>
  <c r="F325" i="2"/>
  <c r="J325" i="2" s="1"/>
  <c r="F326" i="2"/>
  <c r="J326" i="2" s="1"/>
  <c r="F327" i="2"/>
  <c r="J327" i="2" s="1"/>
  <c r="F328" i="2"/>
  <c r="J328" i="2" s="1"/>
  <c r="F329" i="2"/>
  <c r="J329" i="2" s="1"/>
  <c r="F330" i="2"/>
  <c r="J330" i="2" s="1"/>
  <c r="F331" i="2"/>
  <c r="J331" i="2" s="1"/>
  <c r="F332" i="2"/>
  <c r="J332" i="2" s="1"/>
  <c r="F333" i="2"/>
  <c r="J333" i="2" s="1"/>
  <c r="F334" i="2"/>
  <c r="J334" i="2" s="1"/>
  <c r="F335" i="2"/>
  <c r="J335" i="2" s="1"/>
  <c r="F336" i="2"/>
  <c r="J336" i="2" s="1"/>
  <c r="F337" i="2"/>
  <c r="J337" i="2" s="1"/>
  <c r="F338" i="2"/>
  <c r="J338" i="2" s="1"/>
  <c r="F339" i="2"/>
  <c r="J339" i="2" s="1"/>
  <c r="F340" i="2"/>
  <c r="J340" i="2" s="1"/>
  <c r="F341" i="2"/>
  <c r="J341" i="2" s="1"/>
  <c r="F342" i="2"/>
  <c r="J342" i="2" s="1"/>
  <c r="F343" i="2"/>
  <c r="J343" i="2" s="1"/>
  <c r="F344" i="2"/>
  <c r="J344" i="2" s="1"/>
  <c r="F345" i="2"/>
  <c r="J345" i="2" s="1"/>
  <c r="F346" i="2"/>
  <c r="J346" i="2" s="1"/>
  <c r="F347" i="2"/>
  <c r="J347" i="2" s="1"/>
  <c r="F348" i="2"/>
  <c r="J348" i="2" s="1"/>
  <c r="F349" i="2"/>
  <c r="J349" i="2" s="1"/>
  <c r="F350" i="2"/>
  <c r="J350" i="2" s="1"/>
  <c r="F351" i="2"/>
  <c r="J351" i="2" s="1"/>
  <c r="F352" i="2"/>
  <c r="J352" i="2" s="1"/>
  <c r="F353" i="2"/>
  <c r="J353" i="2" s="1"/>
  <c r="F354" i="2"/>
  <c r="J354" i="2" s="1"/>
  <c r="F355" i="2"/>
  <c r="J355" i="2" s="1"/>
  <c r="F356" i="2"/>
  <c r="J356" i="2" s="1"/>
  <c r="F357" i="2"/>
  <c r="J357" i="2" s="1"/>
  <c r="F358" i="2"/>
  <c r="J358" i="2" s="1"/>
  <c r="F359" i="2"/>
  <c r="J359" i="2" s="1"/>
  <c r="F360" i="2"/>
  <c r="J360" i="2" s="1"/>
  <c r="F361" i="2"/>
  <c r="J361" i="2" s="1"/>
  <c r="F362" i="2"/>
  <c r="J362" i="2" s="1"/>
  <c r="F363" i="2"/>
  <c r="J363" i="2" s="1"/>
  <c r="F364" i="2"/>
  <c r="J364" i="2" s="1"/>
  <c r="F365" i="2"/>
  <c r="J365" i="2" s="1"/>
  <c r="F366" i="2"/>
  <c r="J366" i="2" s="1"/>
  <c r="F367" i="2"/>
  <c r="J367" i="2" s="1"/>
  <c r="F368" i="2"/>
  <c r="J368" i="2" s="1"/>
  <c r="F369" i="2"/>
  <c r="J369" i="2" s="1"/>
  <c r="F370" i="2"/>
  <c r="J370" i="2" s="1"/>
  <c r="F371" i="2"/>
  <c r="J371" i="2" s="1"/>
  <c r="F372" i="2"/>
  <c r="J372" i="2" s="1"/>
  <c r="F373" i="2"/>
  <c r="J373" i="2" s="1"/>
  <c r="F374" i="2"/>
  <c r="J374" i="2" s="1"/>
  <c r="F375" i="2"/>
  <c r="J375" i="2" s="1"/>
  <c r="F376" i="2"/>
  <c r="J376" i="2" s="1"/>
  <c r="F377" i="2"/>
  <c r="J377" i="2" s="1"/>
  <c r="F378" i="2"/>
  <c r="J378" i="2" s="1"/>
  <c r="I2" i="2"/>
  <c r="I3" i="2"/>
  <c r="I4" i="2"/>
  <c r="I5" i="2"/>
  <c r="N2" i="2" s="1"/>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alcChain>
</file>

<file path=xl/sharedStrings.xml><?xml version="1.0" encoding="utf-8"?>
<sst xmlns="http://schemas.openxmlformats.org/spreadsheetml/2006/main" count="2515" uniqueCount="503">
  <si>
    <t>Date</t>
  </si>
  <si>
    <t>Category</t>
  </si>
  <si>
    <t>Brand of Product</t>
  </si>
  <si>
    <t>Base Price (PHP)</t>
  </si>
  <si>
    <t>Selling Price (PHP)</t>
  </si>
  <si>
    <t>Quantity</t>
  </si>
  <si>
    <t>Order Number</t>
  </si>
  <si>
    <t xml:space="preserve">Beverages </t>
  </si>
  <si>
    <t>Great Taste</t>
  </si>
  <si>
    <t>ORD124020</t>
  </si>
  <si>
    <t>Canned Goods</t>
  </si>
  <si>
    <t>San Marino</t>
  </si>
  <si>
    <t>ORD124166</t>
  </si>
  <si>
    <t>ORD124045</t>
  </si>
  <si>
    <t>Instant Noodles</t>
  </si>
  <si>
    <t>Maggi</t>
  </si>
  <si>
    <t>ORD124178</t>
  </si>
  <si>
    <t>ORD124057</t>
  </si>
  <si>
    <t xml:space="preserve">Personal Care </t>
  </si>
  <si>
    <t>Dove</t>
  </si>
  <si>
    <t>ORD124147</t>
  </si>
  <si>
    <t>Cleaning Supplies</t>
  </si>
  <si>
    <t>Zonrox</t>
  </si>
  <si>
    <t>ORD124271</t>
  </si>
  <si>
    <t>Biscuits and Cookies</t>
  </si>
  <si>
    <t>Hansel</t>
  </si>
  <si>
    <t>ORD124182</t>
  </si>
  <si>
    <t>ORD124061</t>
  </si>
  <si>
    <t>Tide</t>
  </si>
  <si>
    <t>ORD124035</t>
  </si>
  <si>
    <t>Snacks and Chips</t>
  </si>
  <si>
    <t>Chippy</t>
  </si>
  <si>
    <t>ORD124006</t>
  </si>
  <si>
    <t>Rejoice</t>
  </si>
  <si>
    <t>ORD124267</t>
  </si>
  <si>
    <t>ORD124126</t>
  </si>
  <si>
    <t>ORD124263</t>
  </si>
  <si>
    <t>Young's Town Sardines</t>
  </si>
  <si>
    <t>ORD124040</t>
  </si>
  <si>
    <t>Kopiko</t>
  </si>
  <si>
    <t>ORD124011</t>
  </si>
  <si>
    <t>ORD124142</t>
  </si>
  <si>
    <t>ORD124027</t>
  </si>
  <si>
    <t>Argentina Corned Beef</t>
  </si>
  <si>
    <t>ORD124160</t>
  </si>
  <si>
    <t>Breads and Pastries</t>
  </si>
  <si>
    <t>Pinoy Taste</t>
  </si>
  <si>
    <t>ORD124213</t>
  </si>
  <si>
    <t>Rice and Grains</t>
  </si>
  <si>
    <t>Sinandomeng</t>
  </si>
  <si>
    <t>ORD124191</t>
  </si>
  <si>
    <t>ORD124070</t>
  </si>
  <si>
    <t>7-Up</t>
  </si>
  <si>
    <t>ORD124351</t>
  </si>
  <si>
    <t>ORD124249</t>
  </si>
  <si>
    <t>C2</t>
  </si>
  <si>
    <t>ORD124378</t>
  </si>
  <si>
    <t>ORD124392</t>
  </si>
  <si>
    <t>ORD124406</t>
  </si>
  <si>
    <t>ORD124420</t>
  </si>
  <si>
    <t>Coca-Cola</t>
  </si>
  <si>
    <t>ORD124369</t>
  </si>
  <si>
    <t>ORD124383</t>
  </si>
  <si>
    <t>ORD124173</t>
  </si>
  <si>
    <t>ORD124052</t>
  </si>
  <si>
    <t>ORD124156</t>
  </si>
  <si>
    <t>Century Tuna</t>
  </si>
  <si>
    <t>ORD124285</t>
  </si>
  <si>
    <t>Minute Maid</t>
  </si>
  <si>
    <t>ORD124374</t>
  </si>
  <si>
    <t>ORD124308</t>
  </si>
  <si>
    <t>Frozen Goods</t>
  </si>
  <si>
    <t>Magnolia</t>
  </si>
  <si>
    <t>ORD124324</t>
  </si>
  <si>
    <t>Cooking Oil</t>
  </si>
  <si>
    <t>Golden Fiesta</t>
  </si>
  <si>
    <t>ORD124225</t>
  </si>
  <si>
    <t>ORD124136</t>
  </si>
  <si>
    <t>Magnolia Nutri-Oil</t>
  </si>
  <si>
    <t>ORD124229</t>
  </si>
  <si>
    <t>ORD124347</t>
  </si>
  <si>
    <t>Candies and Sweets</t>
  </si>
  <si>
    <t>Flat Tops</t>
  </si>
  <si>
    <t>ORD124199</t>
  </si>
  <si>
    <t>ORD124341</t>
  </si>
  <si>
    <t>Hany</t>
  </si>
  <si>
    <t>ORD124320</t>
  </si>
  <si>
    <t>ORD124003</t>
  </si>
  <si>
    <t>ORD124292</t>
  </si>
  <si>
    <t>San Mig Coffee</t>
  </si>
  <si>
    <t>ORD124258</t>
  </si>
  <si>
    <t>Condiments and Sauces</t>
  </si>
  <si>
    <t>UFC</t>
  </si>
  <si>
    <t>ORD124218</t>
  </si>
  <si>
    <t>Mountain Dew</t>
  </si>
  <si>
    <t>ORD124238</t>
  </si>
  <si>
    <t>ORD124120</t>
  </si>
  <si>
    <t>ORD124361</t>
  </si>
  <si>
    <t>ORD124397</t>
  </si>
  <si>
    <t>ORD124411</t>
  </si>
  <si>
    <t>Joy</t>
  </si>
  <si>
    <t>ORD124031</t>
  </si>
  <si>
    <t>ORD124388</t>
  </si>
  <si>
    <t>ORD124402</t>
  </si>
  <si>
    <t>ORD124416</t>
  </si>
  <si>
    <t>Piattos</t>
  </si>
  <si>
    <t>ORD124244</t>
  </si>
  <si>
    <t>ORD124207</t>
  </si>
  <si>
    <t>ORD124280</t>
  </si>
  <si>
    <t>Oreo</t>
  </si>
  <si>
    <t>ORD124300</t>
  </si>
  <si>
    <t>ORD124355</t>
  </si>
  <si>
    <t>Ariel</t>
  </si>
  <si>
    <t>ORD124151</t>
  </si>
  <si>
    <t>ORD124276</t>
  </si>
  <si>
    <t>ORD124234</t>
  </si>
  <si>
    <t>Fita</t>
  </si>
  <si>
    <t>ORD124295</t>
  </si>
  <si>
    <t>ORD124015</t>
  </si>
  <si>
    <t>Ding Dong</t>
  </si>
  <si>
    <t>ORD124131</t>
  </si>
  <si>
    <t>Mik-Mik</t>
  </si>
  <si>
    <t>ORD124315</t>
  </si>
  <si>
    <t>Baguio Oil</t>
  </si>
  <si>
    <t>ORD124223</t>
  </si>
  <si>
    <t>Chiz Curls</t>
  </si>
  <si>
    <t>ORD124122</t>
  </si>
  <si>
    <t>ORD124240</t>
  </si>
  <si>
    <t>ORD124228</t>
  </si>
  <si>
    <t>ORD124038</t>
  </si>
  <si>
    <t>ORD124284</t>
  </si>
  <si>
    <t>Nescafé</t>
  </si>
  <si>
    <t>ORD124356</t>
  </si>
  <si>
    <t>Royal</t>
  </si>
  <si>
    <t>ORD124134</t>
  </si>
  <si>
    <t>ORD124246</t>
  </si>
  <si>
    <t>ORD124340</t>
  </si>
  <si>
    <t>555 Sardines</t>
  </si>
  <si>
    <t>ORD124042</t>
  </si>
  <si>
    <t>ORD124187</t>
  </si>
  <si>
    <t>ORD124066</t>
  </si>
  <si>
    <t>Zesto</t>
  </si>
  <si>
    <t>ORD124013</t>
  </si>
  <si>
    <t>ORD124008</t>
  </si>
  <si>
    <t>ORD124034</t>
  </si>
  <si>
    <t>Bingo</t>
  </si>
  <si>
    <t>ORD124302</t>
  </si>
  <si>
    <t>ORD124140</t>
  </si>
  <si>
    <t>Gardenia</t>
  </si>
  <si>
    <t>ORD124331</t>
  </si>
  <si>
    <t>Jasmine Rice</t>
  </si>
  <si>
    <t>ORD124190</t>
  </si>
  <si>
    <t>ORD124069</t>
  </si>
  <si>
    <t>Clear</t>
  </si>
  <si>
    <t>ORD124029</t>
  </si>
  <si>
    <t>ORD124155</t>
  </si>
  <si>
    <t>ORD124349</t>
  </si>
  <si>
    <t>ORD124128</t>
  </si>
  <si>
    <t>ORD124022</t>
  </si>
  <si>
    <t>ORD124298</t>
  </si>
  <si>
    <t>ORD124365</t>
  </si>
  <si>
    <t>San Miguel Purefoods</t>
  </si>
  <si>
    <t>ORD124328</t>
  </si>
  <si>
    <t>ORD124209</t>
  </si>
  <si>
    <t>Lucky Me! Supreme</t>
  </si>
  <si>
    <t>ORD124174</t>
  </si>
  <si>
    <t>ORD124053</t>
  </si>
  <si>
    <t>ORD124146</t>
  </si>
  <si>
    <t>ORD124384</t>
  </si>
  <si>
    <t>ORD124398</t>
  </si>
  <si>
    <t>ORD124412</t>
  </si>
  <si>
    <t>ORD124250</t>
  </si>
  <si>
    <t>ORD124204</t>
  </si>
  <si>
    <t>Downy</t>
  </si>
  <si>
    <t>ORD124275</t>
  </si>
  <si>
    <t>ORD124180</t>
  </si>
  <si>
    <t>ORD124059</t>
  </si>
  <si>
    <t>ORD124370</t>
  </si>
  <si>
    <t>ORD124005</t>
  </si>
  <si>
    <t>Datu Puti</t>
  </si>
  <si>
    <t>ORD124336</t>
  </si>
  <si>
    <t>ORD124200</t>
  </si>
  <si>
    <t>ORD124232</t>
  </si>
  <si>
    <t>ORD124259</t>
  </si>
  <si>
    <t>ORD124293</t>
  </si>
  <si>
    <t>Mang Tomas</t>
  </si>
  <si>
    <t>ORD124219</t>
  </si>
  <si>
    <t>ORD124017</t>
  </si>
  <si>
    <t>ORD124163</t>
  </si>
  <si>
    <t>ORD124279</t>
  </si>
  <si>
    <t>ORD124393</t>
  </si>
  <si>
    <t>ORD124407</t>
  </si>
  <si>
    <t>Pancit Canton</t>
  </si>
  <si>
    <t>ORD124288</t>
  </si>
  <si>
    <t>ORD124168</t>
  </si>
  <si>
    <t>ORD124047</t>
  </si>
  <si>
    <t>ORD124195</t>
  </si>
  <si>
    <t>ORD124074</t>
  </si>
  <si>
    <t>ORD124379</t>
  </si>
  <si>
    <t>Milagrosa</t>
  </si>
  <si>
    <t>ORD124305</t>
  </si>
  <si>
    <t>ORD124150</t>
  </si>
  <si>
    <t>ORD124265</t>
  </si>
  <si>
    <t>ORD124311</t>
  </si>
  <si>
    <t>ORD124390</t>
  </si>
  <si>
    <t>ORD124404</t>
  </si>
  <si>
    <t>ORD124418</t>
  </si>
  <si>
    <t>Del Monte Tomato Sauce</t>
  </si>
  <si>
    <t>ORD124214</t>
  </si>
  <si>
    <t>ORD124254</t>
  </si>
  <si>
    <t>ORD124343</t>
  </si>
  <si>
    <t>ORD124376</t>
  </si>
  <si>
    <t>ORD124323</t>
  </si>
  <si>
    <t>ORD124316</t>
  </si>
  <si>
    <t>ORD124270</t>
  </si>
  <si>
    <t>ORD124183</t>
  </si>
  <si>
    <t>ORD124062</t>
  </si>
  <si>
    <t>ORD124352</t>
  </si>
  <si>
    <t>ORD124278</t>
  </si>
  <si>
    <t>ORD124260</t>
  </si>
  <si>
    <t>ORD124144</t>
  </si>
  <si>
    <t>ORD124287</t>
  </si>
  <si>
    <t>ORD124001</t>
  </si>
  <si>
    <t>ORD124309</t>
  </si>
  <si>
    <t>ORD124153</t>
  </si>
  <si>
    <t>ORD124333</t>
  </si>
  <si>
    <t>ORD124129</t>
  </si>
  <si>
    <t>ORD124264</t>
  </si>
  <si>
    <t>ORD124201</t>
  </si>
  <si>
    <t>ORD124193</t>
  </si>
  <si>
    <t>ORD124072</t>
  </si>
  <si>
    <t>ORD124227</t>
  </si>
  <si>
    <t>ORD124025</t>
  </si>
  <si>
    <t>Payless</t>
  </si>
  <si>
    <t>ORD124291</t>
  </si>
  <si>
    <t>ORD124342</t>
  </si>
  <si>
    <t>ORD124169</t>
  </si>
  <si>
    <t>ORD124138</t>
  </si>
  <si>
    <t>ORD124345</t>
  </si>
  <si>
    <t>ORD124158</t>
  </si>
  <si>
    <t>ORD124236</t>
  </si>
  <si>
    <t>ORD124359</t>
  </si>
  <si>
    <t>ORD124242</t>
  </si>
  <si>
    <t>ORD124021</t>
  </si>
  <si>
    <t>ORD124337</t>
  </si>
  <si>
    <t>ORD124041</t>
  </si>
  <si>
    <t>ORD124391</t>
  </si>
  <si>
    <t>ORD124405</t>
  </si>
  <si>
    <t>ORD124419</t>
  </si>
  <si>
    <t>ORD124016</t>
  </si>
  <si>
    <t>ORD124321</t>
  </si>
  <si>
    <t>ORD124184</t>
  </si>
  <si>
    <t>ORD124063</t>
  </si>
  <si>
    <t>SkyFlakes</t>
  </si>
  <si>
    <t>ORD124297</t>
  </si>
  <si>
    <t>ORD124377</t>
  </si>
  <si>
    <t>ORD124304</t>
  </si>
  <si>
    <t>ORD124273</t>
  </si>
  <si>
    <t>ORD124124</t>
  </si>
  <si>
    <t>ORD124215</t>
  </si>
  <si>
    <t>ORD124196</t>
  </si>
  <si>
    <t>ORD124075</t>
  </si>
  <si>
    <t>ORD124255</t>
  </si>
  <si>
    <t>ORD124318</t>
  </si>
  <si>
    <t>ORD124326</t>
  </si>
  <si>
    <t>ORD124385</t>
  </si>
  <si>
    <t>ORD124399</t>
  </si>
  <si>
    <t>ORD124413</t>
  </si>
  <si>
    <t>ORD124222</t>
  </si>
  <si>
    <t>ORD124312</t>
  </si>
  <si>
    <t>ORD124371</t>
  </si>
  <si>
    <t>ORD124247</t>
  </si>
  <si>
    <t>ORD124301</t>
  </si>
  <si>
    <t>ORD124133</t>
  </si>
  <si>
    <t>ORD124148</t>
  </si>
  <si>
    <t>ORD124179</t>
  </si>
  <si>
    <t>ORD124058</t>
  </si>
  <si>
    <t>ORD124363</t>
  </si>
  <si>
    <t>ORD124366</t>
  </si>
  <si>
    <t>ORD124189</t>
  </si>
  <si>
    <t>ORD124068</t>
  </si>
  <si>
    <t>ORD124176</t>
  </si>
  <si>
    <t>ORD124055</t>
  </si>
  <si>
    <t>Julie's Bakeshop</t>
  </si>
  <si>
    <t>ORD124210</t>
  </si>
  <si>
    <t>ORD124394</t>
  </si>
  <si>
    <t>ORD124408</t>
  </si>
  <si>
    <t>ORD124032</t>
  </si>
  <si>
    <t>ORD124162</t>
  </si>
  <si>
    <t>ORD124007</t>
  </si>
  <si>
    <t>ORD124171</t>
  </si>
  <si>
    <t>ORD124050</t>
  </si>
  <si>
    <t>ORD124037</t>
  </si>
  <si>
    <t>ORD124281</t>
  </si>
  <si>
    <t>ORD124252</t>
  </si>
  <si>
    <t>ORD124380</t>
  </si>
  <si>
    <t>ORD124353</t>
  </si>
  <si>
    <t>ORD124046</t>
  </si>
  <si>
    <t>ORD124268</t>
  </si>
  <si>
    <t>ORD124205</t>
  </si>
  <si>
    <t>Monde</t>
  </si>
  <si>
    <t>ORD124329</t>
  </si>
  <si>
    <t>ORD124167</t>
  </si>
  <si>
    <t>ORD124303</t>
  </si>
  <si>
    <t>ORD124272</t>
  </si>
  <si>
    <t>ORD124241</t>
  </si>
  <si>
    <t>ORD124339</t>
  </si>
  <si>
    <t>ORD124257</t>
  </si>
  <si>
    <t>ORD124141</t>
  </si>
  <si>
    <t>ORD124014</t>
  </si>
  <si>
    <t>ORD124233</t>
  </si>
  <si>
    <t>ORD124230</t>
  </si>
  <si>
    <t>ORD124181</t>
  </si>
  <si>
    <t>ORD124060</t>
  </si>
  <si>
    <t>ORD124354</t>
  </si>
  <si>
    <t>ORD124286</t>
  </si>
  <si>
    <t>ORD124043</t>
  </si>
  <si>
    <t>ORD124026</t>
  </si>
  <si>
    <t>ORD124327</t>
  </si>
  <si>
    <t>ORD124277</t>
  </si>
  <si>
    <t>Sola</t>
  </si>
  <si>
    <t>ORD124386</t>
  </si>
  <si>
    <t>ORD124400</t>
  </si>
  <si>
    <t>ORD124414</t>
  </si>
  <si>
    <t>ORD124123</t>
  </si>
  <si>
    <t>ORD124307</t>
  </si>
  <si>
    <t>ORD124224</t>
  </si>
  <si>
    <t>ORD124203</t>
  </si>
  <si>
    <t>ORD124154</t>
  </si>
  <si>
    <t>ORD124048</t>
  </si>
  <si>
    <t>ORD124362</t>
  </si>
  <si>
    <t>ORD124159</t>
  </si>
  <si>
    <t>ORD124002</t>
  </si>
  <si>
    <t>ORD124245</t>
  </si>
  <si>
    <t>ORD124212</t>
  </si>
  <si>
    <t>ORD124372</t>
  </si>
  <si>
    <t>Mega Sardines</t>
  </si>
  <si>
    <t>ORD124164</t>
  </si>
  <si>
    <t>ORD124296</t>
  </si>
  <si>
    <t>ORD124322</t>
  </si>
  <si>
    <t>ORD124282</t>
  </si>
  <si>
    <t>ORD124132</t>
  </si>
  <si>
    <t>ORD124018</t>
  </si>
  <si>
    <t>ORD124033</t>
  </si>
  <si>
    <t>ORD124197</t>
  </si>
  <si>
    <t>ORD124368</t>
  </si>
  <si>
    <t>ORD124396</t>
  </si>
  <si>
    <t>ORD124410</t>
  </si>
  <si>
    <t>ORD124382</t>
  </si>
  <si>
    <t>ORD124172</t>
  </si>
  <si>
    <t>ORD124051</t>
  </si>
  <si>
    <t>ORD124313</t>
  </si>
  <si>
    <t>ORD124344</t>
  </si>
  <si>
    <t>ORD124317</t>
  </si>
  <si>
    <t>ORD124023</t>
  </si>
  <si>
    <t>Head &amp; Shoulders</t>
  </si>
  <si>
    <t>ORD124266</t>
  </si>
  <si>
    <t>ORD124145</t>
  </si>
  <si>
    <t>ORD124290</t>
  </si>
  <si>
    <t>ORD124208</t>
  </si>
  <si>
    <t>ORD124375</t>
  </si>
  <si>
    <t>ORD124010</t>
  </si>
  <si>
    <t>ORD124358</t>
  </si>
  <si>
    <t>ORD124186</t>
  </si>
  <si>
    <t>ORD124065</t>
  </si>
  <si>
    <t>ORD124253</t>
  </si>
  <si>
    <t>ORD124389</t>
  </si>
  <si>
    <t>ORD124403</t>
  </si>
  <si>
    <t>ORD124417</t>
  </si>
  <si>
    <t>ORD124217</t>
  </si>
  <si>
    <t>ORD124039</t>
  </si>
  <si>
    <t>ORD124220</t>
  </si>
  <si>
    <t>ORD124030</t>
  </si>
  <si>
    <t>ORD124334</t>
  </si>
  <si>
    <t>ORD124137</t>
  </si>
  <si>
    <t>ORD124350</t>
  </si>
  <si>
    <t>ORD124127</t>
  </si>
  <si>
    <t>ORD124192</t>
  </si>
  <si>
    <t>ORD124071</t>
  </si>
  <si>
    <t>ORD124330</t>
  </si>
  <si>
    <t>ORD124237</t>
  </si>
  <si>
    <t>ORD124119</t>
  </si>
  <si>
    <t>ORD124261</t>
  </si>
  <si>
    <t>ORD124177</t>
  </si>
  <si>
    <t>ORD124056</t>
  </si>
  <si>
    <t>ORD124310</t>
  </si>
  <si>
    <t>ORD124149</t>
  </si>
  <si>
    <t>ORD124283</t>
  </si>
  <si>
    <t>ORD124009</t>
  </si>
  <si>
    <t>ORD124335</t>
  </si>
  <si>
    <t>ORD124306</t>
  </si>
  <si>
    <t>ORD124152</t>
  </si>
  <si>
    <t>ORD124198</t>
  </si>
  <si>
    <t>ORD124206</t>
  </si>
  <si>
    <t>ORD124044</t>
  </si>
  <si>
    <t>ORD124239</t>
  </si>
  <si>
    <t>ORD124121</t>
  </si>
  <si>
    <t>Silver Swan</t>
  </si>
  <si>
    <t>ORD124338</t>
  </si>
  <si>
    <t>ORD124165</t>
  </si>
  <si>
    <t>ORD124004</t>
  </si>
  <si>
    <t>ORD124194</t>
  </si>
  <si>
    <t>ORD124073</t>
  </si>
  <si>
    <t>ORD124367</t>
  </si>
  <si>
    <t>ORD124381</t>
  </si>
  <si>
    <t>ORD124395</t>
  </si>
  <si>
    <t>ORD124409</t>
  </si>
  <si>
    <t>ORD124125</t>
  </si>
  <si>
    <t>ORD124231</t>
  </si>
  <si>
    <t>ORD124019</t>
  </si>
  <si>
    <t>ORD124248</t>
  </si>
  <si>
    <t>ORD124235</t>
  </si>
  <si>
    <t>ORD124175</t>
  </si>
  <si>
    <t>ORD124054</t>
  </si>
  <si>
    <t>ORD124299</t>
  </si>
  <si>
    <t>ORD124364</t>
  </si>
  <si>
    <t>ORD124211</t>
  </si>
  <si>
    <t>ORD124185</t>
  </si>
  <si>
    <t>ORD124064</t>
  </si>
  <si>
    <t>ORD124360</t>
  </si>
  <si>
    <t>ORD124188</t>
  </si>
  <si>
    <t>ORD124067</t>
  </si>
  <si>
    <t>ORD124289</t>
  </si>
  <si>
    <t>ORD124139</t>
  </si>
  <si>
    <t>ORD124348</t>
  </si>
  <si>
    <t>ORD124251</t>
  </si>
  <si>
    <t>ORD124226</t>
  </si>
  <si>
    <t>ORD124202</t>
  </si>
  <si>
    <t>ORD124294</t>
  </si>
  <si>
    <t>ORD124161</t>
  </si>
  <si>
    <t>ORD124314</t>
  </si>
  <si>
    <t>ORD124135</t>
  </si>
  <si>
    <t>ORD124243</t>
  </si>
  <si>
    <t>ORD124036</t>
  </si>
  <si>
    <t>ORD124221</t>
  </si>
  <si>
    <t>ORD124332</t>
  </si>
  <si>
    <t>ORD124143</t>
  </si>
  <si>
    <t>ORD124024</t>
  </si>
  <si>
    <t>ORD124269</t>
  </si>
  <si>
    <t>ORD124319</t>
  </si>
  <si>
    <t>ORD124130</t>
  </si>
  <si>
    <t>ORD124346</t>
  </si>
  <si>
    <t>ORD124012</t>
  </si>
  <si>
    <t>ORD124274</t>
  </si>
  <si>
    <t>ORD124157</t>
  </si>
  <si>
    <t>ORD124373</t>
  </si>
  <si>
    <t>ORD124387</t>
  </si>
  <si>
    <t>ORD124401</t>
  </si>
  <si>
    <t>ORD124415</t>
  </si>
  <si>
    <t>ORD124028</t>
  </si>
  <si>
    <t>ORD124357</t>
  </si>
  <si>
    <t>ORD124170</t>
  </si>
  <si>
    <t>ORD124049</t>
  </si>
  <si>
    <t>ORD124262</t>
  </si>
  <si>
    <t>ORD124216</t>
  </si>
  <si>
    <t>ORD124256</t>
  </si>
  <si>
    <t>ORD124325</t>
  </si>
  <si>
    <t>Total Sales</t>
  </si>
  <si>
    <t>Revenue</t>
  </si>
  <si>
    <t>Total Revenue</t>
  </si>
  <si>
    <t>Row Labels</t>
  </si>
  <si>
    <t>Grand Total</t>
  </si>
  <si>
    <t>Sum of Total Sales</t>
  </si>
  <si>
    <t>TOTAL SALES</t>
  </si>
  <si>
    <t>Sum of Quantity</t>
  </si>
  <si>
    <t>Sum of Total Revenue</t>
  </si>
  <si>
    <t>MOST QTY</t>
  </si>
  <si>
    <t>MOST CATEGORY</t>
  </si>
  <si>
    <t>MONTHLY SALES</t>
  </si>
  <si>
    <t>Column Labels</t>
  </si>
  <si>
    <t>Total Sum of Total Sales</t>
  </si>
  <si>
    <t>Total Sum of Total Revenue</t>
  </si>
  <si>
    <t>COST</t>
  </si>
  <si>
    <t>1-May</t>
  </si>
  <si>
    <t>2-May</t>
  </si>
  <si>
    <t>3-May</t>
  </si>
  <si>
    <t>4-May</t>
  </si>
  <si>
    <t>5-May</t>
  </si>
  <si>
    <t>6-May</t>
  </si>
  <si>
    <t>7-May</t>
  </si>
  <si>
    <t>8-May</t>
  </si>
  <si>
    <t>9-May</t>
  </si>
  <si>
    <t>10-May</t>
  </si>
  <si>
    <t>12-May</t>
  </si>
  <si>
    <t>13-May</t>
  </si>
  <si>
    <t>14-May</t>
  </si>
  <si>
    <t>15-May</t>
  </si>
  <si>
    <t>16-May</t>
  </si>
  <si>
    <t>17-May</t>
  </si>
  <si>
    <t>18-May</t>
  </si>
  <si>
    <t>19-May</t>
  </si>
  <si>
    <t>20-May</t>
  </si>
  <si>
    <t>21-May</t>
  </si>
  <si>
    <t>22-May</t>
  </si>
  <si>
    <t>23-May</t>
  </si>
  <si>
    <t>24-May</t>
  </si>
  <si>
    <t>26-May</t>
  </si>
  <si>
    <t>27-May</t>
  </si>
  <si>
    <t>28-May</t>
  </si>
  <si>
    <t>29-May</t>
  </si>
  <si>
    <t>30-May</t>
  </si>
  <si>
    <t>31-May</t>
  </si>
  <si>
    <t>May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</si>
</sst>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2"/>
      <color theme="1"/>
      <name val="Calibri"/>
      <scheme val="minor"/>
    </font>
    <font>
      <sz val="12"/>
      <color theme="1"/>
      <name val="Calibri"/>
      <scheme val="minor"/>
    </font>
    <font>
      <sz val="12"/>
      <color theme="1"/>
      <name val="Calibri"/>
    </font>
    <font>
      <sz val="12"/>
      <color theme="1"/>
      <name val="Cambria"/>
      <family val="1"/>
    </font>
    <font>
      <sz val="12"/>
      <color theme="3"/>
      <name val="Cambria"/>
      <family val="1"/>
    </font>
  </fonts>
  <fills count="3">
    <fill>
      <patternFill patternType="none"/>
    </fill>
    <fill>
      <patternFill patternType="gray125"/>
    </fill>
    <fill>
      <patternFill patternType="solid">
        <fgColor theme="8" tint="0.59999389629810485"/>
        <bgColor indexed="64"/>
      </patternFill>
    </fill>
  </fills>
  <borders count="28">
    <border>
      <left/>
      <right/>
      <top/>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rgb="FF999999"/>
      </left>
      <right style="thin">
        <color rgb="FF999999"/>
      </right>
      <top style="thin">
        <color rgb="FF999999"/>
      </top>
      <bottom/>
      <diagonal/>
    </border>
    <border>
      <left style="thin">
        <color rgb="FF999999"/>
      </left>
      <right style="thin">
        <color rgb="FF999999"/>
      </right>
      <top style="thin">
        <color indexed="65"/>
      </top>
      <bottom/>
      <diagonal/>
    </border>
    <border>
      <left style="thin">
        <color rgb="FF999999"/>
      </left>
      <right style="thin">
        <color rgb="FF999999"/>
      </right>
      <top style="thin">
        <color rgb="FF999999"/>
      </top>
      <bottom style="thin">
        <color rgb="FF999999"/>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right style="thin">
        <color rgb="FF999999"/>
      </right>
      <top style="thin">
        <color rgb="FF999999"/>
      </top>
      <bottom style="thin">
        <color rgb="FF999999"/>
      </bottom>
      <diagonal/>
    </border>
    <border>
      <left style="thin">
        <color indexed="64"/>
      </left>
      <right style="thin">
        <color rgb="FF999999"/>
      </right>
      <top style="thin">
        <color rgb="FF999999"/>
      </top>
      <bottom style="thin">
        <color rgb="FF999999"/>
      </bottom>
      <diagonal/>
    </border>
    <border>
      <left style="thin">
        <color indexed="64"/>
      </left>
      <right style="thin">
        <color rgb="FF999999"/>
      </right>
      <top style="thin">
        <color rgb="FF999999"/>
      </top>
      <bottom/>
      <diagonal/>
    </border>
    <border>
      <left style="thin">
        <color indexed="64"/>
      </left>
      <right style="thin">
        <color rgb="FF999999"/>
      </right>
      <top style="thin">
        <color indexed="65"/>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s>
  <cellStyleXfs count="1">
    <xf numFmtId="0" fontId="0" fillId="0" borderId="0"/>
  </cellStyleXfs>
  <cellXfs count="69">
    <xf numFmtId="0" fontId="0" fillId="0" borderId="0" xfId="0" applyFont="1" applyAlignment="1"/>
    <xf numFmtId="0" fontId="1" fillId="0" borderId="0" xfId="0" applyFont="1"/>
    <xf numFmtId="0" fontId="1" fillId="0" borderId="0" xfId="0" applyFont="1" applyAlignment="1"/>
    <xf numFmtId="14" fontId="2" fillId="0" borderId="0" xfId="0" applyNumberFormat="1" applyFont="1"/>
    <xf numFmtId="0" fontId="1" fillId="0" borderId="0" xfId="0" applyFont="1" applyAlignment="1">
      <alignment horizontal="center"/>
    </xf>
    <xf numFmtId="0" fontId="0" fillId="0" borderId="0" xfId="0" applyFont="1" applyAlignment="1">
      <alignment horizontal="center"/>
    </xf>
    <xf numFmtId="0" fontId="0" fillId="0" borderId="1" xfId="0" applyFont="1" applyBorder="1" applyAlignment="1"/>
    <xf numFmtId="0" fontId="0" fillId="0" borderId="2" xfId="0" applyFont="1" applyBorder="1" applyAlignment="1"/>
    <xf numFmtId="0" fontId="0" fillId="0" borderId="3" xfId="0" applyFont="1" applyBorder="1" applyAlignment="1"/>
    <xf numFmtId="0" fontId="0" fillId="0" borderId="4" xfId="0" applyFont="1" applyBorder="1" applyAlignment="1"/>
    <xf numFmtId="0" fontId="0" fillId="0" borderId="1" xfId="0" pivotButton="1" applyFont="1" applyBorder="1" applyAlignment="1"/>
    <xf numFmtId="0" fontId="0" fillId="0" borderId="5" xfId="0" applyFont="1" applyBorder="1" applyAlignment="1"/>
    <xf numFmtId="0" fontId="0" fillId="0" borderId="1" xfId="0" applyFont="1" applyBorder="1" applyAlignment="1">
      <alignment horizontal="left"/>
    </xf>
    <xf numFmtId="0" fontId="0" fillId="0" borderId="5" xfId="0" applyNumberFormat="1" applyFont="1" applyBorder="1" applyAlignment="1"/>
    <xf numFmtId="0" fontId="0" fillId="0" borderId="8" xfId="0" applyFont="1" applyBorder="1" applyAlignment="1">
      <alignment horizontal="left"/>
    </xf>
    <xf numFmtId="0" fontId="0" fillId="0" borderId="7" xfId="0" applyNumberFormat="1" applyFont="1" applyBorder="1" applyAlignment="1"/>
    <xf numFmtId="14" fontId="0" fillId="0" borderId="1" xfId="0" applyNumberFormat="1" applyFont="1" applyBorder="1" applyAlignment="1">
      <alignment horizontal="left"/>
    </xf>
    <xf numFmtId="14" fontId="0" fillId="0" borderId="4" xfId="0" applyNumberFormat="1" applyFont="1" applyBorder="1" applyAlignment="1">
      <alignment horizontal="left"/>
    </xf>
    <xf numFmtId="0" fontId="0" fillId="0" borderId="6" xfId="0" applyNumberFormat="1" applyFont="1" applyBorder="1" applyAlignment="1"/>
    <xf numFmtId="14" fontId="0" fillId="0" borderId="8" xfId="0" applyNumberFormat="1" applyFont="1" applyBorder="1" applyAlignment="1">
      <alignment horizontal="left"/>
    </xf>
    <xf numFmtId="0" fontId="0" fillId="0" borderId="4" xfId="0" applyFont="1" applyBorder="1" applyAlignment="1">
      <alignment horizontal="left"/>
    </xf>
    <xf numFmtId="0" fontId="0" fillId="0" borderId="0" xfId="0" pivotButton="1" applyFont="1" applyAlignment="1"/>
    <xf numFmtId="0" fontId="0" fillId="0" borderId="9" xfId="0" applyFont="1" applyBorder="1" applyAlignment="1"/>
    <xf numFmtId="0" fontId="0" fillId="0" borderId="1" xfId="0" applyFont="1" applyBorder="1" applyAlignment="1">
      <alignment horizontal="center"/>
    </xf>
    <xf numFmtId="0" fontId="0" fillId="0" borderId="1" xfId="0" applyNumberFormat="1" applyFont="1" applyBorder="1" applyAlignment="1">
      <alignment horizontal="center"/>
    </xf>
    <xf numFmtId="0" fontId="0" fillId="0" borderId="9" xfId="0" applyNumberFormat="1" applyFont="1" applyBorder="1" applyAlignment="1">
      <alignment horizontal="center"/>
    </xf>
    <xf numFmtId="0" fontId="0" fillId="0" borderId="4" xfId="0" applyNumberFormat="1" applyFont="1" applyBorder="1" applyAlignment="1">
      <alignment horizontal="center"/>
    </xf>
    <xf numFmtId="0" fontId="0" fillId="0" borderId="10" xfId="0" applyNumberFormat="1" applyFont="1" applyBorder="1" applyAlignment="1">
      <alignment horizontal="center"/>
    </xf>
    <xf numFmtId="0" fontId="0" fillId="0" borderId="8" xfId="0" applyNumberFormat="1" applyFont="1" applyBorder="1" applyAlignment="1">
      <alignment horizontal="center"/>
    </xf>
    <xf numFmtId="0" fontId="0" fillId="0" borderId="11" xfId="0" applyNumberFormat="1" applyFont="1" applyBorder="1" applyAlignment="1">
      <alignment horizontal="center"/>
    </xf>
    <xf numFmtId="0" fontId="0" fillId="0" borderId="13" xfId="0" applyFont="1" applyBorder="1" applyAlignment="1">
      <alignment horizontal="center"/>
    </xf>
    <xf numFmtId="0" fontId="0" fillId="0" borderId="13" xfId="0" applyNumberFormat="1" applyFont="1" applyBorder="1" applyAlignment="1">
      <alignment horizontal="center"/>
    </xf>
    <xf numFmtId="0" fontId="0" fillId="0" borderId="14" xfId="0" applyNumberFormat="1" applyFont="1" applyBorder="1" applyAlignment="1">
      <alignment horizontal="center"/>
    </xf>
    <xf numFmtId="0" fontId="0" fillId="0" borderId="12" xfId="0" applyNumberFormat="1" applyFont="1" applyBorder="1" applyAlignment="1">
      <alignment horizontal="center"/>
    </xf>
    <xf numFmtId="0" fontId="0" fillId="0" borderId="0" xfId="0" applyFont="1" applyAlignment="1">
      <alignment horizontal="right"/>
    </xf>
    <xf numFmtId="0" fontId="0" fillId="0" borderId="6" xfId="0" applyFont="1" applyBorder="1" applyAlignment="1"/>
    <xf numFmtId="0" fontId="0" fillId="0" borderId="5" xfId="0" applyNumberFormat="1" applyFont="1" applyBorder="1" applyAlignment="1">
      <alignment horizontal="center"/>
    </xf>
    <xf numFmtId="0" fontId="0" fillId="0" borderId="7" xfId="0" applyNumberFormat="1" applyFont="1" applyBorder="1" applyAlignment="1">
      <alignment horizontal="center"/>
    </xf>
    <xf numFmtId="0" fontId="0" fillId="0" borderId="6" xfId="0" applyNumberFormat="1" applyFont="1" applyBorder="1" applyAlignment="1">
      <alignment horizontal="center"/>
    </xf>
    <xf numFmtId="0" fontId="0" fillId="0" borderId="15" xfId="0" applyFont="1" applyBorder="1" applyAlignment="1"/>
    <xf numFmtId="0" fontId="0" fillId="0" borderId="15" xfId="0" applyFont="1" applyBorder="1" applyAlignment="1">
      <alignment horizontal="right"/>
    </xf>
    <xf numFmtId="0" fontId="3" fillId="2" borderId="0" xfId="0" applyFont="1" applyFill="1"/>
    <xf numFmtId="0" fontId="3" fillId="2" borderId="22" xfId="0" applyFont="1" applyFill="1" applyBorder="1" applyAlignment="1">
      <alignment horizontal="left"/>
    </xf>
    <xf numFmtId="0" fontId="3" fillId="2" borderId="25" xfId="0" applyNumberFormat="1" applyFont="1" applyFill="1" applyBorder="1" applyAlignment="1">
      <alignment horizontal="center"/>
    </xf>
    <xf numFmtId="0" fontId="3" fillId="2" borderId="17" xfId="0" applyNumberFormat="1" applyFont="1" applyFill="1" applyBorder="1" applyAlignment="1">
      <alignment horizontal="center"/>
    </xf>
    <xf numFmtId="0" fontId="3" fillId="2" borderId="0" xfId="0" applyFont="1" applyFill="1" applyAlignment="1"/>
    <xf numFmtId="0" fontId="3" fillId="2" borderId="23" xfId="0" applyFont="1" applyFill="1" applyBorder="1" applyAlignment="1">
      <alignment horizontal="left"/>
    </xf>
    <xf numFmtId="0" fontId="3" fillId="2" borderId="26" xfId="0" applyNumberFormat="1" applyFont="1" applyFill="1" applyBorder="1" applyAlignment="1">
      <alignment horizontal="center"/>
    </xf>
    <xf numFmtId="0" fontId="3" fillId="2" borderId="18" xfId="0" applyNumberFormat="1" applyFont="1" applyFill="1" applyBorder="1" applyAlignment="1">
      <alignment horizontal="center"/>
    </xf>
    <xf numFmtId="0" fontId="3" fillId="2" borderId="24" xfId="0" applyFont="1" applyFill="1" applyBorder="1" applyAlignment="1">
      <alignment horizontal="left"/>
    </xf>
    <xf numFmtId="0" fontId="3" fillId="2" borderId="16" xfId="0" applyFont="1" applyFill="1" applyBorder="1" applyAlignment="1">
      <alignment horizontal="left"/>
    </xf>
    <xf numFmtId="0" fontId="3" fillId="2" borderId="27" xfId="0" applyNumberFormat="1" applyFont="1" applyFill="1" applyBorder="1" applyAlignment="1">
      <alignment horizontal="center"/>
    </xf>
    <xf numFmtId="0" fontId="3" fillId="2" borderId="19" xfId="0" applyNumberFormat="1" applyFont="1" applyFill="1" applyBorder="1" applyAlignment="1">
      <alignment horizontal="center"/>
    </xf>
    <xf numFmtId="14" fontId="3" fillId="2" borderId="16" xfId="0" applyNumberFormat="1" applyFont="1" applyFill="1" applyBorder="1" applyAlignment="1">
      <alignment horizontal="left"/>
    </xf>
    <xf numFmtId="0" fontId="4" fillId="2" borderId="16" xfId="0" applyFont="1" applyFill="1" applyBorder="1" applyAlignment="1"/>
    <xf numFmtId="0" fontId="4" fillId="2" borderId="20" xfId="0" applyFont="1" applyFill="1" applyBorder="1" applyAlignment="1"/>
    <xf numFmtId="0" fontId="4" fillId="2" borderId="21" xfId="0" applyFont="1" applyFill="1" applyBorder="1" applyAlignment="1"/>
    <xf numFmtId="0" fontId="4" fillId="2" borderId="20" xfId="0" applyFont="1" applyFill="1" applyBorder="1" applyAlignment="1">
      <alignment horizontal="center"/>
    </xf>
    <xf numFmtId="0" fontId="4" fillId="2" borderId="21" xfId="0" applyFont="1" applyFill="1" applyBorder="1" applyAlignment="1">
      <alignment horizontal="center"/>
    </xf>
    <xf numFmtId="0" fontId="0" fillId="0" borderId="4" xfId="0" applyFont="1" applyBorder="1" applyAlignment="1">
      <alignment horizontal="left" indent="1"/>
    </xf>
    <xf numFmtId="0" fontId="0" fillId="0" borderId="1" xfId="0" applyNumberFormat="1" applyFont="1" applyBorder="1" applyAlignment="1"/>
    <xf numFmtId="0" fontId="0" fillId="0" borderId="4" xfId="0" applyNumberFormat="1" applyFont="1" applyBorder="1" applyAlignment="1"/>
    <xf numFmtId="0" fontId="0" fillId="0" borderId="8" xfId="0" applyNumberFormat="1" applyFont="1" applyBorder="1" applyAlignment="1"/>
    <xf numFmtId="0" fontId="0" fillId="0" borderId="9" xfId="0" applyNumberFormat="1" applyFont="1" applyBorder="1" applyAlignment="1"/>
    <xf numFmtId="0" fontId="0" fillId="0" borderId="10" xfId="0" applyNumberFormat="1" applyFont="1" applyBorder="1" applyAlignment="1"/>
    <xf numFmtId="0" fontId="0" fillId="0" borderId="11" xfId="0" applyNumberFormat="1" applyFont="1" applyBorder="1" applyAlignment="1"/>
    <xf numFmtId="14" fontId="3" fillId="2" borderId="22" xfId="0" applyNumberFormat="1" applyFont="1" applyFill="1" applyBorder="1" applyAlignment="1">
      <alignment horizontal="left"/>
    </xf>
    <xf numFmtId="14" fontId="3" fillId="2" borderId="23" xfId="0" applyNumberFormat="1" applyFont="1" applyFill="1" applyBorder="1" applyAlignment="1">
      <alignment horizontal="left"/>
    </xf>
    <xf numFmtId="14" fontId="3" fillId="2" borderId="24" xfId="0" applyNumberFormat="1" applyFont="1" applyFill="1" applyBorder="1" applyAlignment="1">
      <alignment horizontal="left"/>
    </xf>
  </cellXfs>
  <cellStyles count="1">
    <cellStyle name="Normal" xfId="0" builtinId="0"/>
  </cellStyles>
  <dxfs count="173">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color theme="3"/>
      </font>
    </dxf>
    <dxf>
      <font>
        <color theme="3"/>
      </font>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color theme="3"/>
      </font>
    </dxf>
    <dxf>
      <font>
        <color theme="3"/>
      </font>
    </dxf>
    <dxf>
      <alignment horizontal="center"/>
    </dxf>
    <dxf>
      <alignment horizontal="center"/>
    </dxf>
    <dxf>
      <alignment horizontal="center"/>
    </dxf>
    <dxf>
      <alignment horizontal="center"/>
    </dxf>
    <dxf>
      <alignment horizontal="center"/>
    </dxf>
    <dxf>
      <alignment horizontal="center"/>
    </dxf>
    <dxf>
      <border>
        <left style="thin">
          <color indexed="64"/>
        </left>
      </border>
    </dxf>
    <dxf>
      <border>
        <left style="thin">
          <color indexed="64"/>
        </left>
      </border>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color theme="3"/>
      </font>
    </dxf>
    <dxf>
      <font>
        <color theme="3"/>
      </font>
    </dxf>
    <dxf>
      <alignment horizontal="center"/>
    </dxf>
    <dxf>
      <alignment horizontal="cent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thin">
          <color indexed="64"/>
        </right>
      </border>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color theme="3"/>
      </font>
    </dxf>
    <dxf>
      <font>
        <color theme="3"/>
      </font>
    </dxf>
    <dxf>
      <alignment horizontal="center"/>
    </dxf>
    <dxf>
      <alignment horizontal="center"/>
    </dxf>
    <dxf>
      <alignment horizontal="center"/>
    </dxf>
    <dxf>
      <alignment horizontal="center"/>
    </dxf>
    <dxf>
      <alignment horizontal="center"/>
    </dxf>
    <dxf>
      <alignment horizontal="center"/>
    </dxf>
    <dxf>
      <border>
        <left style="thin">
          <color indexed="64"/>
        </left>
      </border>
    </dxf>
    <dxf>
      <border>
        <left style="thin">
          <color indexed="64"/>
        </left>
      </border>
    </dxf>
    <dxf>
      <alignment horizontal="center"/>
    </dxf>
    <dxf>
      <alignment horizontal="center"/>
    </dxf>
    <dxf>
      <border>
        <left style="thin">
          <color indexed="64"/>
        </left>
      </border>
    </dxf>
    <dxf>
      <border>
        <left style="thin">
          <color indexed="64"/>
        </left>
      </border>
    </dxf>
    <dxf>
      <alignment horizontal="center"/>
    </dxf>
    <dxf>
      <alignment horizontal="center"/>
    </dxf>
    <dxf>
      <alignment horizontal="center"/>
    </dxf>
    <dxf>
      <alignment horizontal="center"/>
    </dxf>
    <dxf>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color theme="3"/>
      </font>
    </dxf>
    <dxf>
      <font>
        <color theme="3"/>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border>
        <right style="thin">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ont>
        <color theme="3"/>
      </font>
    </dxf>
    <dxf>
      <font>
        <color theme="3"/>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ont>
        <name val="Cambria"/>
        <family val="1"/>
        <scheme val="none"/>
      </font>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fill>
        <patternFill>
          <bgColor theme="8" tint="0.59999389629810485"/>
        </patternFill>
      </fill>
    </dxf>
    <dxf>
      <border>
        <right style="thin">
          <color indexed="64"/>
        </righ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center"/>
    </dxf>
    <dxf>
      <alignment horizontal="center"/>
    </dxf>
    <dxf>
      <fill>
        <patternFill patternType="solid">
          <fgColor rgb="FFD9E2F3"/>
          <bgColor rgb="FFD9E2F3"/>
        </patternFill>
      </fill>
    </dxf>
    <dxf>
      <fill>
        <patternFill patternType="solid">
          <fgColor rgb="FFD9E2F3"/>
          <bgColor rgb="FFD9E2F3"/>
        </patternFill>
      </fill>
    </dxf>
    <dxf>
      <fill>
        <patternFill patternType="solid">
          <fgColor theme="4"/>
          <bgColor theme="4"/>
        </patternFill>
      </fill>
    </dxf>
  </dxfs>
  <tableStyles count="1">
    <tableStyle name="sales_data-style" pivot="0" count="3" xr9:uid="{00000000-0011-0000-FFFF-FFFF00000000}">
      <tableStyleElement type="headerRow" dxfId="172"/>
      <tableStyleElement type="firstRowStripe" dxfId="171"/>
      <tableStyleElement type="secondRowStripe" dxfId="17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 Monitoring Dashboard.xlsx]Tables_charts!PivotTable2</c:name>
    <c:fmtId val="3"/>
  </c:pivotSource>
  <c:chart>
    <c:title>
      <c:tx>
        <c:rich>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r>
              <a:rPr lang="en-US" sz="2000" b="1">
                <a:solidFill>
                  <a:schemeClr val="bg1"/>
                </a:solidFill>
              </a:rPr>
              <a:t>Monthly Sales</a:t>
            </a:r>
          </a:p>
        </c:rich>
      </c:tx>
      <c:layout>
        <c:manualLayout>
          <c:xMode val="edge"/>
          <c:yMode val="edge"/>
          <c:x val="0.4373142464038508"/>
          <c:y val="3.3796684907719969E-2"/>
        </c:manualLayout>
      </c:layout>
      <c:overlay val="0"/>
      <c:spPr>
        <a:noFill/>
        <a:ln>
          <a:noFill/>
        </a:ln>
        <a:effectLst/>
      </c:spPr>
      <c:txPr>
        <a:bodyPr rot="0" spcFirstLastPara="1" vertOverflow="ellipsis" vert="horz" wrap="square" anchor="ctr" anchorCtr="1"/>
        <a:lstStyle/>
        <a:p>
          <a:pPr>
            <a:defRPr sz="2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solidFill>
              <a:schemeClr val="tx1">
                <a:lumMod val="65000"/>
                <a:lumOff val="35000"/>
              </a:schemeClr>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Tables_charts!$D$2</c:f>
              <c:strCache>
                <c:ptCount val="1"/>
                <c:pt idx="0">
                  <c:v>Total</c:v>
                </c:pt>
              </c:strCache>
            </c:strRef>
          </c:tx>
          <c:spPr>
            <a:solidFill>
              <a:srgbClr val="FFC000"/>
            </a:solidFill>
            <a:ln>
              <a:solidFill>
                <a:schemeClr val="tx1">
                  <a:lumMod val="65000"/>
                  <a:lumOff val="35000"/>
                </a:schemeClr>
              </a:solid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Tables_charts!$C$3:$C$32</c:f>
              <c:strCache>
                <c:ptCount val="29"/>
                <c:pt idx="0">
                  <c:v>1-May</c:v>
                </c:pt>
                <c:pt idx="1">
                  <c:v>2-May</c:v>
                </c:pt>
                <c:pt idx="2">
                  <c:v>3-May</c:v>
                </c:pt>
                <c:pt idx="3">
                  <c:v>4-May</c:v>
                </c:pt>
                <c:pt idx="4">
                  <c:v>5-May</c:v>
                </c:pt>
                <c:pt idx="5">
                  <c:v>6-May</c:v>
                </c:pt>
                <c:pt idx="6">
                  <c:v>7-May</c:v>
                </c:pt>
                <c:pt idx="7">
                  <c:v>8-May</c:v>
                </c:pt>
                <c:pt idx="8">
                  <c:v>9-May</c:v>
                </c:pt>
                <c:pt idx="9">
                  <c:v>10-May</c:v>
                </c:pt>
                <c:pt idx="10">
                  <c:v>12-May</c:v>
                </c:pt>
                <c:pt idx="11">
                  <c:v>13-May</c:v>
                </c:pt>
                <c:pt idx="12">
                  <c:v>14-May</c:v>
                </c:pt>
                <c:pt idx="13">
                  <c:v>15-May</c:v>
                </c:pt>
                <c:pt idx="14">
                  <c:v>16-May</c:v>
                </c:pt>
                <c:pt idx="15">
                  <c:v>17-May</c:v>
                </c:pt>
                <c:pt idx="16">
                  <c:v>18-May</c:v>
                </c:pt>
                <c:pt idx="17">
                  <c:v>19-May</c:v>
                </c:pt>
                <c:pt idx="18">
                  <c:v>20-May</c:v>
                </c:pt>
                <c:pt idx="19">
                  <c:v>21-May</c:v>
                </c:pt>
                <c:pt idx="20">
                  <c:v>22-May</c:v>
                </c:pt>
                <c:pt idx="21">
                  <c:v>23-May</c:v>
                </c:pt>
                <c:pt idx="22">
                  <c:v>24-May</c:v>
                </c:pt>
                <c:pt idx="23">
                  <c:v>26-May</c:v>
                </c:pt>
                <c:pt idx="24">
                  <c:v>27-May</c:v>
                </c:pt>
                <c:pt idx="25">
                  <c:v>28-May</c:v>
                </c:pt>
                <c:pt idx="26">
                  <c:v>29-May</c:v>
                </c:pt>
                <c:pt idx="27">
                  <c:v>30-May</c:v>
                </c:pt>
                <c:pt idx="28">
                  <c:v>31-May</c:v>
                </c:pt>
              </c:strCache>
            </c:strRef>
          </c:cat>
          <c:val>
            <c:numRef>
              <c:f>Tables_charts!$D$3:$D$32</c:f>
              <c:numCache>
                <c:formatCode>General</c:formatCode>
                <c:ptCount val="29"/>
                <c:pt idx="0">
                  <c:v>144</c:v>
                </c:pt>
                <c:pt idx="1">
                  <c:v>40</c:v>
                </c:pt>
                <c:pt idx="2">
                  <c:v>60</c:v>
                </c:pt>
                <c:pt idx="3">
                  <c:v>56</c:v>
                </c:pt>
                <c:pt idx="4">
                  <c:v>664</c:v>
                </c:pt>
                <c:pt idx="5">
                  <c:v>150</c:v>
                </c:pt>
                <c:pt idx="6">
                  <c:v>109</c:v>
                </c:pt>
                <c:pt idx="7">
                  <c:v>756</c:v>
                </c:pt>
                <c:pt idx="8">
                  <c:v>207</c:v>
                </c:pt>
                <c:pt idx="9">
                  <c:v>491</c:v>
                </c:pt>
                <c:pt idx="10">
                  <c:v>348</c:v>
                </c:pt>
                <c:pt idx="11">
                  <c:v>189</c:v>
                </c:pt>
                <c:pt idx="12">
                  <c:v>610</c:v>
                </c:pt>
                <c:pt idx="13">
                  <c:v>440</c:v>
                </c:pt>
                <c:pt idx="14">
                  <c:v>120</c:v>
                </c:pt>
                <c:pt idx="15">
                  <c:v>288</c:v>
                </c:pt>
                <c:pt idx="16">
                  <c:v>485</c:v>
                </c:pt>
                <c:pt idx="17">
                  <c:v>234</c:v>
                </c:pt>
                <c:pt idx="18">
                  <c:v>36</c:v>
                </c:pt>
                <c:pt idx="19">
                  <c:v>576</c:v>
                </c:pt>
                <c:pt idx="20">
                  <c:v>285</c:v>
                </c:pt>
                <c:pt idx="21">
                  <c:v>261</c:v>
                </c:pt>
                <c:pt idx="22">
                  <c:v>276</c:v>
                </c:pt>
                <c:pt idx="23">
                  <c:v>38</c:v>
                </c:pt>
                <c:pt idx="24">
                  <c:v>779</c:v>
                </c:pt>
                <c:pt idx="25">
                  <c:v>401</c:v>
                </c:pt>
                <c:pt idx="26">
                  <c:v>442</c:v>
                </c:pt>
                <c:pt idx="27">
                  <c:v>200</c:v>
                </c:pt>
                <c:pt idx="28">
                  <c:v>477</c:v>
                </c:pt>
              </c:numCache>
            </c:numRef>
          </c:val>
          <c:extLst>
            <c:ext xmlns:c16="http://schemas.microsoft.com/office/drawing/2014/chart" uri="{C3380CC4-5D6E-409C-BE32-E72D297353CC}">
              <c16:uniqueId val="{00000000-CFFB-42E0-B655-33C60DEA18DE}"/>
            </c:ext>
          </c:extLst>
        </c:ser>
        <c:dLbls>
          <c:dLblPos val="outEnd"/>
          <c:showLegendKey val="0"/>
          <c:showVal val="1"/>
          <c:showCatName val="0"/>
          <c:showSerName val="0"/>
          <c:showPercent val="0"/>
          <c:showBubbleSize val="0"/>
        </c:dLbls>
        <c:gapWidth val="105"/>
        <c:overlap val="-25"/>
        <c:axId val="446484040"/>
        <c:axId val="446480760"/>
      </c:barChart>
      <c:catAx>
        <c:axId val="446484040"/>
        <c:scaling>
          <c:orientation val="minMax"/>
        </c:scaling>
        <c:delete val="0"/>
        <c:axPos val="b"/>
        <c:numFmt formatCode="General" sourceLinked="1"/>
        <c:majorTickMark val="none"/>
        <c:minorTickMark val="none"/>
        <c:tickLblPos val="nextTo"/>
        <c:spPr>
          <a:noFill/>
          <a:ln w="9525" cap="flat" cmpd="sng" algn="ctr">
            <a:solidFill>
              <a:schemeClr val="tx1">
                <a:lumMod val="65000"/>
                <a:lumOff val="3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46480760"/>
        <c:crosses val="autoZero"/>
        <c:auto val="1"/>
        <c:lblAlgn val="ctr"/>
        <c:lblOffset val="100"/>
        <c:noMultiLvlLbl val="0"/>
      </c:catAx>
      <c:valAx>
        <c:axId val="446480760"/>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4464840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 Monitoring Dashboard.xlsx]Tables_charts!PivotTable4</c:name>
    <c:fmtId val="7"/>
  </c:pivotSource>
  <c:chart>
    <c:title>
      <c:tx>
        <c:rich>
          <a:bodyPr rot="0" spcFirstLastPara="1" vertOverflow="ellipsis" vert="horz" wrap="square" anchor="ctr" anchorCtr="1"/>
          <a:lstStyle/>
          <a:p>
            <a:pPr algn="ctr">
              <a:defRPr sz="2500" b="1" i="0" u="none" strike="noStrike" kern="1200" spc="0" baseline="0">
                <a:solidFill>
                  <a:schemeClr val="bg1"/>
                </a:solidFill>
                <a:latin typeface="+mn-lt"/>
                <a:ea typeface="+mn-ea"/>
                <a:cs typeface="+mn-cs"/>
              </a:defRPr>
            </a:pPr>
            <a:r>
              <a:rPr lang="en-US" sz="2500" b="1">
                <a:solidFill>
                  <a:schemeClr val="bg1"/>
                </a:solidFill>
              </a:rPr>
              <a:t>MONTHLY SALES AND PROFIT</a:t>
            </a:r>
          </a:p>
        </c:rich>
      </c:tx>
      <c:overlay val="0"/>
      <c:spPr>
        <a:noFill/>
        <a:ln>
          <a:noFill/>
        </a:ln>
        <a:effectLst/>
      </c:spPr>
      <c:txPr>
        <a:bodyPr rot="0" spcFirstLastPara="1" vertOverflow="ellipsis" vert="horz" wrap="square" anchor="ctr" anchorCtr="1"/>
        <a:lstStyle/>
        <a:p>
          <a:pPr algn="ctr">
            <a:defRPr sz="25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C000"/>
          </a:solidFill>
          <a:ln>
            <a:solidFill>
              <a:schemeClr val="tx2"/>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tx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pivotFmt>
    </c:pivotFmts>
    <c:plotArea>
      <c:layout/>
      <c:barChart>
        <c:barDir val="col"/>
        <c:grouping val="clustered"/>
        <c:varyColors val="0"/>
        <c:ser>
          <c:idx val="0"/>
          <c:order val="0"/>
          <c:tx>
            <c:strRef>
              <c:f>Tables_charts!$O$20</c:f>
              <c:strCache>
                <c:ptCount val="1"/>
                <c:pt idx="0">
                  <c:v>Sum of Total Sales</c:v>
                </c:pt>
              </c:strCache>
            </c:strRef>
          </c:tx>
          <c:spPr>
            <a:solidFill>
              <a:srgbClr val="FFC000"/>
            </a:solidFill>
            <a:ln>
              <a:solidFill>
                <a:schemeClr val="tx2"/>
              </a:solid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Tables_charts!$N$21:$N$50</c:f>
              <c:strCache>
                <c:ptCount val="29"/>
                <c:pt idx="0">
                  <c:v>1-May</c:v>
                </c:pt>
                <c:pt idx="1">
                  <c:v>2-May</c:v>
                </c:pt>
                <c:pt idx="2">
                  <c:v>3-May</c:v>
                </c:pt>
                <c:pt idx="3">
                  <c:v>4-May</c:v>
                </c:pt>
                <c:pt idx="4">
                  <c:v>5-May</c:v>
                </c:pt>
                <c:pt idx="5">
                  <c:v>6-May</c:v>
                </c:pt>
                <c:pt idx="6">
                  <c:v>7-May</c:v>
                </c:pt>
                <c:pt idx="7">
                  <c:v>8-May</c:v>
                </c:pt>
                <c:pt idx="8">
                  <c:v>9-May</c:v>
                </c:pt>
                <c:pt idx="9">
                  <c:v>10-May</c:v>
                </c:pt>
                <c:pt idx="10">
                  <c:v>12-May</c:v>
                </c:pt>
                <c:pt idx="11">
                  <c:v>13-May</c:v>
                </c:pt>
                <c:pt idx="12">
                  <c:v>14-May</c:v>
                </c:pt>
                <c:pt idx="13">
                  <c:v>15-May</c:v>
                </c:pt>
                <c:pt idx="14">
                  <c:v>16-May</c:v>
                </c:pt>
                <c:pt idx="15">
                  <c:v>17-May</c:v>
                </c:pt>
                <c:pt idx="16">
                  <c:v>18-May</c:v>
                </c:pt>
                <c:pt idx="17">
                  <c:v>19-May</c:v>
                </c:pt>
                <c:pt idx="18">
                  <c:v>20-May</c:v>
                </c:pt>
                <c:pt idx="19">
                  <c:v>21-May</c:v>
                </c:pt>
                <c:pt idx="20">
                  <c:v>22-May</c:v>
                </c:pt>
                <c:pt idx="21">
                  <c:v>23-May</c:v>
                </c:pt>
                <c:pt idx="22">
                  <c:v>24-May</c:v>
                </c:pt>
                <c:pt idx="23">
                  <c:v>26-May</c:v>
                </c:pt>
                <c:pt idx="24">
                  <c:v>27-May</c:v>
                </c:pt>
                <c:pt idx="25">
                  <c:v>28-May</c:v>
                </c:pt>
                <c:pt idx="26">
                  <c:v>29-May</c:v>
                </c:pt>
                <c:pt idx="27">
                  <c:v>30-May</c:v>
                </c:pt>
                <c:pt idx="28">
                  <c:v>31-May</c:v>
                </c:pt>
              </c:strCache>
            </c:strRef>
          </c:cat>
          <c:val>
            <c:numRef>
              <c:f>Tables_charts!$O$21:$O$50</c:f>
              <c:numCache>
                <c:formatCode>General</c:formatCode>
                <c:ptCount val="29"/>
                <c:pt idx="0">
                  <c:v>144</c:v>
                </c:pt>
                <c:pt idx="1">
                  <c:v>40</c:v>
                </c:pt>
                <c:pt idx="2">
                  <c:v>60</c:v>
                </c:pt>
                <c:pt idx="3">
                  <c:v>56</c:v>
                </c:pt>
                <c:pt idx="4">
                  <c:v>664</c:v>
                </c:pt>
                <c:pt idx="5">
                  <c:v>150</c:v>
                </c:pt>
                <c:pt idx="6">
                  <c:v>109</c:v>
                </c:pt>
                <c:pt idx="7">
                  <c:v>756</c:v>
                </c:pt>
                <c:pt idx="8">
                  <c:v>207</c:v>
                </c:pt>
                <c:pt idx="9">
                  <c:v>491</c:v>
                </c:pt>
                <c:pt idx="10">
                  <c:v>348</c:v>
                </c:pt>
                <c:pt idx="11">
                  <c:v>189</c:v>
                </c:pt>
                <c:pt idx="12">
                  <c:v>610</c:v>
                </c:pt>
                <c:pt idx="13">
                  <c:v>440</c:v>
                </c:pt>
                <c:pt idx="14">
                  <c:v>120</c:v>
                </c:pt>
                <c:pt idx="15">
                  <c:v>288</c:v>
                </c:pt>
                <c:pt idx="16">
                  <c:v>485</c:v>
                </c:pt>
                <c:pt idx="17">
                  <c:v>234</c:v>
                </c:pt>
                <c:pt idx="18">
                  <c:v>36</c:v>
                </c:pt>
                <c:pt idx="19">
                  <c:v>576</c:v>
                </c:pt>
                <c:pt idx="20">
                  <c:v>285</c:v>
                </c:pt>
                <c:pt idx="21">
                  <c:v>261</c:v>
                </c:pt>
                <c:pt idx="22">
                  <c:v>276</c:v>
                </c:pt>
                <c:pt idx="23">
                  <c:v>38</c:v>
                </c:pt>
                <c:pt idx="24">
                  <c:v>779</c:v>
                </c:pt>
                <c:pt idx="25">
                  <c:v>401</c:v>
                </c:pt>
                <c:pt idx="26">
                  <c:v>442</c:v>
                </c:pt>
                <c:pt idx="27">
                  <c:v>200</c:v>
                </c:pt>
                <c:pt idx="28">
                  <c:v>477</c:v>
                </c:pt>
              </c:numCache>
            </c:numRef>
          </c:val>
          <c:extLst>
            <c:ext xmlns:c16="http://schemas.microsoft.com/office/drawing/2014/chart" uri="{C3380CC4-5D6E-409C-BE32-E72D297353CC}">
              <c16:uniqueId val="{00000000-06B5-475E-8F48-FB692A778AC2}"/>
            </c:ext>
          </c:extLst>
        </c:ser>
        <c:dLbls>
          <c:showLegendKey val="0"/>
          <c:showVal val="0"/>
          <c:showCatName val="0"/>
          <c:showSerName val="0"/>
          <c:showPercent val="0"/>
          <c:showBubbleSize val="0"/>
        </c:dLbls>
        <c:gapWidth val="50"/>
        <c:overlap val="-27"/>
        <c:axId val="630750808"/>
        <c:axId val="630755072"/>
      </c:barChart>
      <c:lineChart>
        <c:grouping val="standard"/>
        <c:varyColors val="0"/>
        <c:ser>
          <c:idx val="1"/>
          <c:order val="1"/>
          <c:tx>
            <c:strRef>
              <c:f>Tables_charts!$P$20</c:f>
              <c:strCache>
                <c:ptCount val="1"/>
                <c:pt idx="0">
                  <c:v>Sum of Total Revenue</c:v>
                </c:pt>
              </c:strCache>
            </c:strRef>
          </c:tx>
          <c:spPr>
            <a:ln w="28575" cap="rnd">
              <a:solidFill>
                <a:schemeClr val="tx1"/>
              </a:solidFill>
              <a:round/>
            </a:ln>
            <a:effectLst/>
          </c:spPr>
          <c:marker>
            <c:symbol val="none"/>
          </c:marker>
          <c:trendline>
            <c:spPr>
              <a:ln w="19050" cap="rnd">
                <a:solidFill>
                  <a:srgbClr val="FFFF00"/>
                </a:solidFill>
                <a:prstDash val="sysDot"/>
              </a:ln>
              <a:effectLst/>
            </c:spPr>
            <c:trendlineType val="linear"/>
            <c:dispRSqr val="0"/>
            <c:dispEq val="0"/>
          </c:trendline>
          <c:cat>
            <c:strRef>
              <c:f>Tables_charts!$N$21:$N$50</c:f>
              <c:strCache>
                <c:ptCount val="29"/>
                <c:pt idx="0">
                  <c:v>1-May</c:v>
                </c:pt>
                <c:pt idx="1">
                  <c:v>2-May</c:v>
                </c:pt>
                <c:pt idx="2">
                  <c:v>3-May</c:v>
                </c:pt>
                <c:pt idx="3">
                  <c:v>4-May</c:v>
                </c:pt>
                <c:pt idx="4">
                  <c:v>5-May</c:v>
                </c:pt>
                <c:pt idx="5">
                  <c:v>6-May</c:v>
                </c:pt>
                <c:pt idx="6">
                  <c:v>7-May</c:v>
                </c:pt>
                <c:pt idx="7">
                  <c:v>8-May</c:v>
                </c:pt>
                <c:pt idx="8">
                  <c:v>9-May</c:v>
                </c:pt>
                <c:pt idx="9">
                  <c:v>10-May</c:v>
                </c:pt>
                <c:pt idx="10">
                  <c:v>12-May</c:v>
                </c:pt>
                <c:pt idx="11">
                  <c:v>13-May</c:v>
                </c:pt>
                <c:pt idx="12">
                  <c:v>14-May</c:v>
                </c:pt>
                <c:pt idx="13">
                  <c:v>15-May</c:v>
                </c:pt>
                <c:pt idx="14">
                  <c:v>16-May</c:v>
                </c:pt>
                <c:pt idx="15">
                  <c:v>17-May</c:v>
                </c:pt>
                <c:pt idx="16">
                  <c:v>18-May</c:v>
                </c:pt>
                <c:pt idx="17">
                  <c:v>19-May</c:v>
                </c:pt>
                <c:pt idx="18">
                  <c:v>20-May</c:v>
                </c:pt>
                <c:pt idx="19">
                  <c:v>21-May</c:v>
                </c:pt>
                <c:pt idx="20">
                  <c:v>22-May</c:v>
                </c:pt>
                <c:pt idx="21">
                  <c:v>23-May</c:v>
                </c:pt>
                <c:pt idx="22">
                  <c:v>24-May</c:v>
                </c:pt>
                <c:pt idx="23">
                  <c:v>26-May</c:v>
                </c:pt>
                <c:pt idx="24">
                  <c:v>27-May</c:v>
                </c:pt>
                <c:pt idx="25">
                  <c:v>28-May</c:v>
                </c:pt>
                <c:pt idx="26">
                  <c:v>29-May</c:v>
                </c:pt>
                <c:pt idx="27">
                  <c:v>30-May</c:v>
                </c:pt>
                <c:pt idx="28">
                  <c:v>31-May</c:v>
                </c:pt>
              </c:strCache>
            </c:strRef>
          </c:cat>
          <c:val>
            <c:numRef>
              <c:f>Tables_charts!$P$21:$P$50</c:f>
              <c:numCache>
                <c:formatCode>General</c:formatCode>
                <c:ptCount val="29"/>
                <c:pt idx="0">
                  <c:v>33.36</c:v>
                </c:pt>
                <c:pt idx="1">
                  <c:v>7.6599999999999966</c:v>
                </c:pt>
                <c:pt idx="2">
                  <c:v>11.489999999999995</c:v>
                </c:pt>
                <c:pt idx="3">
                  <c:v>15</c:v>
                </c:pt>
                <c:pt idx="4">
                  <c:v>102.02000000000001</c:v>
                </c:pt>
                <c:pt idx="5">
                  <c:v>42</c:v>
                </c:pt>
                <c:pt idx="6">
                  <c:v>27.159999999999997</c:v>
                </c:pt>
                <c:pt idx="7">
                  <c:v>168.28</c:v>
                </c:pt>
                <c:pt idx="8">
                  <c:v>40.5</c:v>
                </c:pt>
                <c:pt idx="9">
                  <c:v>128.25</c:v>
                </c:pt>
                <c:pt idx="10">
                  <c:v>72</c:v>
                </c:pt>
                <c:pt idx="11">
                  <c:v>59.220000000000006</c:v>
                </c:pt>
                <c:pt idx="12">
                  <c:v>126.59</c:v>
                </c:pt>
                <c:pt idx="13">
                  <c:v>109.75</c:v>
                </c:pt>
                <c:pt idx="14">
                  <c:v>38</c:v>
                </c:pt>
                <c:pt idx="15">
                  <c:v>86.97</c:v>
                </c:pt>
                <c:pt idx="16">
                  <c:v>58.300000000000004</c:v>
                </c:pt>
                <c:pt idx="17">
                  <c:v>72.739999999999995</c:v>
                </c:pt>
                <c:pt idx="18">
                  <c:v>13.5</c:v>
                </c:pt>
                <c:pt idx="19">
                  <c:v>112.41</c:v>
                </c:pt>
                <c:pt idx="20">
                  <c:v>80.360000000000014</c:v>
                </c:pt>
                <c:pt idx="21">
                  <c:v>63.030000000000008</c:v>
                </c:pt>
                <c:pt idx="22">
                  <c:v>85.59</c:v>
                </c:pt>
                <c:pt idx="23">
                  <c:v>9</c:v>
                </c:pt>
                <c:pt idx="24">
                  <c:v>198.75</c:v>
                </c:pt>
                <c:pt idx="25">
                  <c:v>84</c:v>
                </c:pt>
                <c:pt idx="26">
                  <c:v>110.84000000000002</c:v>
                </c:pt>
                <c:pt idx="27">
                  <c:v>36.25</c:v>
                </c:pt>
                <c:pt idx="28">
                  <c:v>104.96999999999998</c:v>
                </c:pt>
              </c:numCache>
            </c:numRef>
          </c:val>
          <c:smooth val="0"/>
          <c:extLst>
            <c:ext xmlns:c16="http://schemas.microsoft.com/office/drawing/2014/chart" uri="{C3380CC4-5D6E-409C-BE32-E72D297353CC}">
              <c16:uniqueId val="{00000001-06B5-475E-8F48-FB692A778AC2}"/>
            </c:ext>
          </c:extLst>
        </c:ser>
        <c:dLbls>
          <c:showLegendKey val="0"/>
          <c:showVal val="0"/>
          <c:showCatName val="0"/>
          <c:showSerName val="0"/>
          <c:showPercent val="0"/>
          <c:showBubbleSize val="0"/>
        </c:dLbls>
        <c:marker val="1"/>
        <c:smooth val="0"/>
        <c:axId val="630762288"/>
        <c:axId val="630763928"/>
      </c:lineChart>
      <c:catAx>
        <c:axId val="630750808"/>
        <c:scaling>
          <c:orientation val="minMax"/>
        </c:scaling>
        <c:delete val="0"/>
        <c:axPos val="b"/>
        <c:numFmt formatCode="General" sourceLinked="1"/>
        <c:majorTickMark val="none"/>
        <c:minorTickMark val="none"/>
        <c:tickLblPos val="nextTo"/>
        <c:spPr>
          <a:noFill/>
          <a:ln w="9525" cap="flat" cmpd="sng" algn="ctr">
            <a:solidFill>
              <a:schemeClr val="tx2"/>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30755072"/>
        <c:crosses val="autoZero"/>
        <c:auto val="1"/>
        <c:lblAlgn val="ctr"/>
        <c:lblOffset val="100"/>
        <c:noMultiLvlLbl val="0"/>
      </c:catAx>
      <c:valAx>
        <c:axId val="63075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30750808"/>
        <c:crossesAt val="1"/>
        <c:crossBetween val="between"/>
      </c:valAx>
      <c:valAx>
        <c:axId val="6307639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630762288"/>
        <c:crosses val="max"/>
        <c:crossBetween val="between"/>
      </c:valAx>
      <c:catAx>
        <c:axId val="630762288"/>
        <c:scaling>
          <c:orientation val="minMax"/>
        </c:scaling>
        <c:delete val="1"/>
        <c:axPos val="b"/>
        <c:numFmt formatCode="General" sourceLinked="1"/>
        <c:majorTickMark val="out"/>
        <c:minorTickMark val="none"/>
        <c:tickLblPos val="nextTo"/>
        <c:crossAx val="630763928"/>
        <c:crosses val="autoZero"/>
        <c:auto val="1"/>
        <c:lblAlgn val="ctr"/>
        <c:lblOffset val="100"/>
        <c:noMultiLvlLbl val="0"/>
      </c:catAx>
      <c:spPr>
        <a:noFill/>
        <a:ln>
          <a:noFill/>
        </a:ln>
        <a:effectLst/>
      </c:spPr>
    </c:plotArea>
    <c:legend>
      <c:legendPos val="t"/>
      <c:layout>
        <c:manualLayout>
          <c:xMode val="edge"/>
          <c:yMode val="edge"/>
          <c:x val="0.33965041076241759"/>
          <c:y val="0.14061229976315193"/>
          <c:w val="0.52163339809328502"/>
          <c:h val="8.0643202585686566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 Monitoring Dashboard.xlsx]Tables_charts!PivotTable3</c:name>
    <c:fmtId val="5"/>
  </c:pivotSource>
  <c:chart>
    <c:title>
      <c:tx>
        <c:rich>
          <a:bodyPr rot="0" spcFirstLastPara="1" vertOverflow="ellipsis" vert="horz" wrap="square" anchor="ctr" anchorCtr="1"/>
          <a:lstStyle/>
          <a:p>
            <a:pPr>
              <a:defRPr sz="1800" b="1" i="0" u="none" strike="noStrike" kern="1200" spc="0" baseline="0">
                <a:solidFill>
                  <a:schemeClr val="tx2"/>
                </a:solidFill>
                <a:latin typeface="Cambria" panose="02040503050406030204" pitchFamily="18" charset="0"/>
                <a:ea typeface="Cambria" panose="02040503050406030204" pitchFamily="18" charset="0"/>
                <a:cs typeface="+mn-cs"/>
              </a:defRPr>
            </a:pPr>
            <a:r>
              <a:rPr lang="en-US" sz="1800" b="1">
                <a:solidFill>
                  <a:schemeClr val="tx2"/>
                </a:solidFill>
                <a:latin typeface="Cambria" panose="02040503050406030204" pitchFamily="18" charset="0"/>
                <a:ea typeface="Cambria" panose="02040503050406030204" pitchFamily="18" charset="0"/>
              </a:rPr>
              <a:t>SALES PER CATEGORY</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2"/>
              </a:solidFill>
              <a:latin typeface="Cambria" panose="02040503050406030204" pitchFamily="18" charset="0"/>
              <a:ea typeface="Cambria" panose="02040503050406030204" pitchFamily="18" charset="0"/>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eparator>. </c:separator>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s>
    <c:plotArea>
      <c:layout/>
      <c:pieChart>
        <c:varyColors val="1"/>
        <c:ser>
          <c:idx val="0"/>
          <c:order val="0"/>
          <c:tx>
            <c:strRef>
              <c:f>Tables_charts!$O$3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485-4619-941A-6E08098F7C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485-4619-941A-6E08098F7C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485-4619-941A-6E08098F7C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485-4619-941A-6E08098F7C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485-4619-941A-6E08098F7CA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7485-4619-941A-6E08098F7CA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7485-4619-941A-6E08098F7CA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7485-4619-941A-6E08098F7CA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7485-4619-941A-6E08098F7CA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7485-4619-941A-6E08098F7CA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7485-4619-941A-6E08098F7CA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7485-4619-941A-6E08098F7CA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7485-4619-941A-6E08098F7CA5}"/>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2"/>
                    </a:solidFill>
                    <a:latin typeface="+mn-lt"/>
                    <a:ea typeface="+mn-ea"/>
                    <a:cs typeface="+mn-cs"/>
                  </a:defRPr>
                </a:pPr>
                <a:endParaRPr lang="en-US"/>
              </a:p>
            </c:txPr>
            <c:dLblPos val="inEnd"/>
            <c:showLegendKey val="0"/>
            <c:showVal val="0"/>
            <c:showCatName val="0"/>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Tables_charts!$N$4:$N$17</c:f>
              <c:strCache>
                <c:ptCount val="13"/>
                <c:pt idx="0">
                  <c:v>Beverages </c:v>
                </c:pt>
                <c:pt idx="1">
                  <c:v>Biscuits and Cookies</c:v>
                </c:pt>
                <c:pt idx="2">
                  <c:v>Breads and Pastries</c:v>
                </c:pt>
                <c:pt idx="3">
                  <c:v>Candies and Sweets</c:v>
                </c:pt>
                <c:pt idx="4">
                  <c:v>Canned Goods</c:v>
                </c:pt>
                <c:pt idx="5">
                  <c:v>Cleaning Supplies</c:v>
                </c:pt>
                <c:pt idx="6">
                  <c:v>Condiments and Sauces</c:v>
                </c:pt>
                <c:pt idx="7">
                  <c:v>Cooking Oil</c:v>
                </c:pt>
                <c:pt idx="8">
                  <c:v>Frozen Goods</c:v>
                </c:pt>
                <c:pt idx="9">
                  <c:v>Instant Noodles</c:v>
                </c:pt>
                <c:pt idx="10">
                  <c:v>Personal Care </c:v>
                </c:pt>
                <c:pt idx="11">
                  <c:v>Rice and Grains</c:v>
                </c:pt>
                <c:pt idx="12">
                  <c:v>Snacks and Chips</c:v>
                </c:pt>
              </c:strCache>
            </c:strRef>
          </c:cat>
          <c:val>
            <c:numRef>
              <c:f>Tables_charts!$O$4:$O$17</c:f>
              <c:numCache>
                <c:formatCode>General</c:formatCode>
                <c:ptCount val="13"/>
                <c:pt idx="0">
                  <c:v>92</c:v>
                </c:pt>
                <c:pt idx="1">
                  <c:v>30</c:v>
                </c:pt>
                <c:pt idx="2">
                  <c:v>15</c:v>
                </c:pt>
                <c:pt idx="3">
                  <c:v>16</c:v>
                </c:pt>
                <c:pt idx="4">
                  <c:v>34</c:v>
                </c:pt>
                <c:pt idx="5">
                  <c:v>22</c:v>
                </c:pt>
                <c:pt idx="6">
                  <c:v>22</c:v>
                </c:pt>
                <c:pt idx="7">
                  <c:v>16</c:v>
                </c:pt>
                <c:pt idx="8">
                  <c:v>16</c:v>
                </c:pt>
                <c:pt idx="9">
                  <c:v>38</c:v>
                </c:pt>
                <c:pt idx="10">
                  <c:v>36</c:v>
                </c:pt>
                <c:pt idx="11">
                  <c:v>28</c:v>
                </c:pt>
                <c:pt idx="12">
                  <c:v>32</c:v>
                </c:pt>
              </c:numCache>
            </c:numRef>
          </c:val>
          <c:extLst>
            <c:ext xmlns:c16="http://schemas.microsoft.com/office/drawing/2014/chart" uri="{C3380CC4-5D6E-409C-BE32-E72D297353CC}">
              <c16:uniqueId val="{0000001A-7485-4619-941A-6E08098F7CA5}"/>
            </c:ext>
          </c:extLst>
        </c:ser>
        <c:ser>
          <c:idx val="1"/>
          <c:order val="1"/>
          <c:tx>
            <c:strRef>
              <c:f>Tables_charts!$P$3</c:f>
              <c:strCache>
                <c:ptCount val="1"/>
                <c:pt idx="0">
                  <c:v>Sum of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C-7485-4619-941A-6E08098F7C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E-7485-4619-941A-6E08098F7CA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0-7485-4619-941A-6E08098F7CA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2-7485-4619-941A-6E08098F7CA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4-7485-4619-941A-6E08098F7CA5}"/>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6-7485-4619-941A-6E08098F7CA5}"/>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8-7485-4619-941A-6E08098F7CA5}"/>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A-7485-4619-941A-6E08098F7CA5}"/>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C-7485-4619-941A-6E08098F7CA5}"/>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E-7485-4619-941A-6E08098F7CA5}"/>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0-7485-4619-941A-6E08098F7CA5}"/>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2-7485-4619-941A-6E08098F7CA5}"/>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4-7485-4619-941A-6E08098F7CA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Tables_charts!$N$4:$N$17</c:f>
              <c:strCache>
                <c:ptCount val="13"/>
                <c:pt idx="0">
                  <c:v>Beverages </c:v>
                </c:pt>
                <c:pt idx="1">
                  <c:v>Biscuits and Cookies</c:v>
                </c:pt>
                <c:pt idx="2">
                  <c:v>Breads and Pastries</c:v>
                </c:pt>
                <c:pt idx="3">
                  <c:v>Candies and Sweets</c:v>
                </c:pt>
                <c:pt idx="4">
                  <c:v>Canned Goods</c:v>
                </c:pt>
                <c:pt idx="5">
                  <c:v>Cleaning Supplies</c:v>
                </c:pt>
                <c:pt idx="6">
                  <c:v>Condiments and Sauces</c:v>
                </c:pt>
                <c:pt idx="7">
                  <c:v>Cooking Oil</c:v>
                </c:pt>
                <c:pt idx="8">
                  <c:v>Frozen Goods</c:v>
                </c:pt>
                <c:pt idx="9">
                  <c:v>Instant Noodles</c:v>
                </c:pt>
                <c:pt idx="10">
                  <c:v>Personal Care </c:v>
                </c:pt>
                <c:pt idx="11">
                  <c:v>Rice and Grains</c:v>
                </c:pt>
                <c:pt idx="12">
                  <c:v>Snacks and Chips</c:v>
                </c:pt>
              </c:strCache>
            </c:strRef>
          </c:cat>
          <c:val>
            <c:numRef>
              <c:f>Tables_charts!$P$4:$P$17</c:f>
              <c:numCache>
                <c:formatCode>General</c:formatCode>
                <c:ptCount val="13"/>
                <c:pt idx="0">
                  <c:v>1450</c:v>
                </c:pt>
                <c:pt idx="1">
                  <c:v>396</c:v>
                </c:pt>
                <c:pt idx="2">
                  <c:v>303</c:v>
                </c:pt>
                <c:pt idx="3">
                  <c:v>78</c:v>
                </c:pt>
                <c:pt idx="4">
                  <c:v>1181</c:v>
                </c:pt>
                <c:pt idx="5">
                  <c:v>421</c:v>
                </c:pt>
                <c:pt idx="6">
                  <c:v>575</c:v>
                </c:pt>
                <c:pt idx="7">
                  <c:v>707</c:v>
                </c:pt>
                <c:pt idx="8">
                  <c:v>649</c:v>
                </c:pt>
                <c:pt idx="9">
                  <c:v>704</c:v>
                </c:pt>
                <c:pt idx="10">
                  <c:v>756</c:v>
                </c:pt>
                <c:pt idx="11">
                  <c:v>1191</c:v>
                </c:pt>
                <c:pt idx="12">
                  <c:v>751</c:v>
                </c:pt>
              </c:numCache>
            </c:numRef>
          </c:val>
          <c:extLst>
            <c:ext xmlns:c16="http://schemas.microsoft.com/office/drawing/2014/chart" uri="{C3380CC4-5D6E-409C-BE32-E72D297353CC}">
              <c16:uniqueId val="{00000035-7485-4619-941A-6E08098F7CA5}"/>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0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40000"/>
        <a:lumOff val="60000"/>
      </a:schemeClr>
    </a:solidFill>
    <a:ln w="9525" cap="flat" cmpd="sng" algn="ctr">
      <a:solidFill>
        <a:schemeClr val="accent5">
          <a:lumMod val="40000"/>
          <a:lumOff val="6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 Monitoring Dashboard.xlsx]Tables_charts!PivotTable2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Tables_charts!$D$2</c:f>
              <c:strCache>
                <c:ptCount val="1"/>
                <c:pt idx="0">
                  <c:v>Total</c:v>
                </c:pt>
              </c:strCache>
            </c:strRef>
          </c:tx>
          <c:spPr>
            <a:solidFill>
              <a:schemeClr val="accent1"/>
            </a:solidFill>
            <a:ln>
              <a:noFill/>
            </a:ln>
            <a:effectLst/>
          </c:spPr>
          <c:invertIfNegative val="0"/>
          <c:cat>
            <c:strRef>
              <c:f>Tables_charts!$C$3:$C$32</c:f>
              <c:strCache>
                <c:ptCount val="29"/>
                <c:pt idx="0">
                  <c:v>1-May</c:v>
                </c:pt>
                <c:pt idx="1">
                  <c:v>2-May</c:v>
                </c:pt>
                <c:pt idx="2">
                  <c:v>3-May</c:v>
                </c:pt>
                <c:pt idx="3">
                  <c:v>4-May</c:v>
                </c:pt>
                <c:pt idx="4">
                  <c:v>5-May</c:v>
                </c:pt>
                <c:pt idx="5">
                  <c:v>6-May</c:v>
                </c:pt>
                <c:pt idx="6">
                  <c:v>7-May</c:v>
                </c:pt>
                <c:pt idx="7">
                  <c:v>8-May</c:v>
                </c:pt>
                <c:pt idx="8">
                  <c:v>9-May</c:v>
                </c:pt>
                <c:pt idx="9">
                  <c:v>10-May</c:v>
                </c:pt>
                <c:pt idx="10">
                  <c:v>12-May</c:v>
                </c:pt>
                <c:pt idx="11">
                  <c:v>13-May</c:v>
                </c:pt>
                <c:pt idx="12">
                  <c:v>14-May</c:v>
                </c:pt>
                <c:pt idx="13">
                  <c:v>15-May</c:v>
                </c:pt>
                <c:pt idx="14">
                  <c:v>16-May</c:v>
                </c:pt>
                <c:pt idx="15">
                  <c:v>17-May</c:v>
                </c:pt>
                <c:pt idx="16">
                  <c:v>18-May</c:v>
                </c:pt>
                <c:pt idx="17">
                  <c:v>19-May</c:v>
                </c:pt>
                <c:pt idx="18">
                  <c:v>20-May</c:v>
                </c:pt>
                <c:pt idx="19">
                  <c:v>21-May</c:v>
                </c:pt>
                <c:pt idx="20">
                  <c:v>22-May</c:v>
                </c:pt>
                <c:pt idx="21">
                  <c:v>23-May</c:v>
                </c:pt>
                <c:pt idx="22">
                  <c:v>24-May</c:v>
                </c:pt>
                <c:pt idx="23">
                  <c:v>26-May</c:v>
                </c:pt>
                <c:pt idx="24">
                  <c:v>27-May</c:v>
                </c:pt>
                <c:pt idx="25">
                  <c:v>28-May</c:v>
                </c:pt>
                <c:pt idx="26">
                  <c:v>29-May</c:v>
                </c:pt>
                <c:pt idx="27">
                  <c:v>30-May</c:v>
                </c:pt>
                <c:pt idx="28">
                  <c:v>31-May</c:v>
                </c:pt>
              </c:strCache>
            </c:strRef>
          </c:cat>
          <c:val>
            <c:numRef>
              <c:f>Tables_charts!$D$3:$D$32</c:f>
              <c:numCache>
                <c:formatCode>General</c:formatCode>
                <c:ptCount val="29"/>
                <c:pt idx="0">
                  <c:v>144</c:v>
                </c:pt>
                <c:pt idx="1">
                  <c:v>40</c:v>
                </c:pt>
                <c:pt idx="2">
                  <c:v>60</c:v>
                </c:pt>
                <c:pt idx="3">
                  <c:v>56</c:v>
                </c:pt>
                <c:pt idx="4">
                  <c:v>664</c:v>
                </c:pt>
                <c:pt idx="5">
                  <c:v>150</c:v>
                </c:pt>
                <c:pt idx="6">
                  <c:v>109</c:v>
                </c:pt>
                <c:pt idx="7">
                  <c:v>756</c:v>
                </c:pt>
                <c:pt idx="8">
                  <c:v>207</c:v>
                </c:pt>
                <c:pt idx="9">
                  <c:v>491</c:v>
                </c:pt>
                <c:pt idx="10">
                  <c:v>348</c:v>
                </c:pt>
                <c:pt idx="11">
                  <c:v>189</c:v>
                </c:pt>
                <c:pt idx="12">
                  <c:v>610</c:v>
                </c:pt>
                <c:pt idx="13">
                  <c:v>440</c:v>
                </c:pt>
                <c:pt idx="14">
                  <c:v>120</c:v>
                </c:pt>
                <c:pt idx="15">
                  <c:v>288</c:v>
                </c:pt>
                <c:pt idx="16">
                  <c:v>485</c:v>
                </c:pt>
                <c:pt idx="17">
                  <c:v>234</c:v>
                </c:pt>
                <c:pt idx="18">
                  <c:v>36</c:v>
                </c:pt>
                <c:pt idx="19">
                  <c:v>576</c:v>
                </c:pt>
                <c:pt idx="20">
                  <c:v>285</c:v>
                </c:pt>
                <c:pt idx="21">
                  <c:v>261</c:v>
                </c:pt>
                <c:pt idx="22">
                  <c:v>276</c:v>
                </c:pt>
                <c:pt idx="23">
                  <c:v>38</c:v>
                </c:pt>
                <c:pt idx="24">
                  <c:v>779</c:v>
                </c:pt>
                <c:pt idx="25">
                  <c:v>401</c:v>
                </c:pt>
                <c:pt idx="26">
                  <c:v>442</c:v>
                </c:pt>
                <c:pt idx="27">
                  <c:v>200</c:v>
                </c:pt>
                <c:pt idx="28">
                  <c:v>477</c:v>
                </c:pt>
              </c:numCache>
            </c:numRef>
          </c:val>
          <c:extLst>
            <c:ext xmlns:c16="http://schemas.microsoft.com/office/drawing/2014/chart" uri="{C3380CC4-5D6E-409C-BE32-E72D297353CC}">
              <c16:uniqueId val="{00000000-0938-45BC-B12C-0830F85E0D73}"/>
            </c:ext>
          </c:extLst>
        </c:ser>
        <c:dLbls>
          <c:showLegendKey val="0"/>
          <c:showVal val="0"/>
          <c:showCatName val="0"/>
          <c:showSerName val="0"/>
          <c:showPercent val="0"/>
          <c:showBubbleSize val="0"/>
        </c:dLbls>
        <c:gapWidth val="219"/>
        <c:overlap val="-27"/>
        <c:axId val="446484040"/>
        <c:axId val="446480760"/>
      </c:barChart>
      <c:catAx>
        <c:axId val="446484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480760"/>
        <c:crosses val="autoZero"/>
        <c:auto val="1"/>
        <c:lblAlgn val="ctr"/>
        <c:lblOffset val="100"/>
        <c:noMultiLvlLbl val="0"/>
      </c:catAx>
      <c:valAx>
        <c:axId val="446480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64840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 Monitoring Dashboard.xlsx]Tables_charts!PivotTable4</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Tables_charts!$O$20</c:f>
              <c:strCache>
                <c:ptCount val="1"/>
                <c:pt idx="0">
                  <c:v>Sum of Total Sales</c:v>
                </c:pt>
              </c:strCache>
            </c:strRef>
          </c:tx>
          <c:spPr>
            <a:solidFill>
              <a:schemeClr val="accent1"/>
            </a:solidFill>
            <a:ln>
              <a:noFill/>
            </a:ln>
            <a:effectLst/>
          </c:spPr>
          <c:invertIfNegative val="0"/>
          <c:cat>
            <c:strRef>
              <c:f>Tables_charts!$N$21:$N$50</c:f>
              <c:strCache>
                <c:ptCount val="29"/>
                <c:pt idx="0">
                  <c:v>1-May</c:v>
                </c:pt>
                <c:pt idx="1">
                  <c:v>2-May</c:v>
                </c:pt>
                <c:pt idx="2">
                  <c:v>3-May</c:v>
                </c:pt>
                <c:pt idx="3">
                  <c:v>4-May</c:v>
                </c:pt>
                <c:pt idx="4">
                  <c:v>5-May</c:v>
                </c:pt>
                <c:pt idx="5">
                  <c:v>6-May</c:v>
                </c:pt>
                <c:pt idx="6">
                  <c:v>7-May</c:v>
                </c:pt>
                <c:pt idx="7">
                  <c:v>8-May</c:v>
                </c:pt>
                <c:pt idx="8">
                  <c:v>9-May</c:v>
                </c:pt>
                <c:pt idx="9">
                  <c:v>10-May</c:v>
                </c:pt>
                <c:pt idx="10">
                  <c:v>12-May</c:v>
                </c:pt>
                <c:pt idx="11">
                  <c:v>13-May</c:v>
                </c:pt>
                <c:pt idx="12">
                  <c:v>14-May</c:v>
                </c:pt>
                <c:pt idx="13">
                  <c:v>15-May</c:v>
                </c:pt>
                <c:pt idx="14">
                  <c:v>16-May</c:v>
                </c:pt>
                <c:pt idx="15">
                  <c:v>17-May</c:v>
                </c:pt>
                <c:pt idx="16">
                  <c:v>18-May</c:v>
                </c:pt>
                <c:pt idx="17">
                  <c:v>19-May</c:v>
                </c:pt>
                <c:pt idx="18">
                  <c:v>20-May</c:v>
                </c:pt>
                <c:pt idx="19">
                  <c:v>21-May</c:v>
                </c:pt>
                <c:pt idx="20">
                  <c:v>22-May</c:v>
                </c:pt>
                <c:pt idx="21">
                  <c:v>23-May</c:v>
                </c:pt>
                <c:pt idx="22">
                  <c:v>24-May</c:v>
                </c:pt>
                <c:pt idx="23">
                  <c:v>26-May</c:v>
                </c:pt>
                <c:pt idx="24">
                  <c:v>27-May</c:v>
                </c:pt>
                <c:pt idx="25">
                  <c:v>28-May</c:v>
                </c:pt>
                <c:pt idx="26">
                  <c:v>29-May</c:v>
                </c:pt>
                <c:pt idx="27">
                  <c:v>30-May</c:v>
                </c:pt>
                <c:pt idx="28">
                  <c:v>31-May</c:v>
                </c:pt>
              </c:strCache>
            </c:strRef>
          </c:cat>
          <c:val>
            <c:numRef>
              <c:f>Tables_charts!$O$21:$O$50</c:f>
              <c:numCache>
                <c:formatCode>General</c:formatCode>
                <c:ptCount val="29"/>
                <c:pt idx="0">
                  <c:v>144</c:v>
                </c:pt>
                <c:pt idx="1">
                  <c:v>40</c:v>
                </c:pt>
                <c:pt idx="2">
                  <c:v>60</c:v>
                </c:pt>
                <c:pt idx="3">
                  <c:v>56</c:v>
                </c:pt>
                <c:pt idx="4">
                  <c:v>664</c:v>
                </c:pt>
                <c:pt idx="5">
                  <c:v>150</c:v>
                </c:pt>
                <c:pt idx="6">
                  <c:v>109</c:v>
                </c:pt>
                <c:pt idx="7">
                  <c:v>756</c:v>
                </c:pt>
                <c:pt idx="8">
                  <c:v>207</c:v>
                </c:pt>
                <c:pt idx="9">
                  <c:v>491</c:v>
                </c:pt>
                <c:pt idx="10">
                  <c:v>348</c:v>
                </c:pt>
                <c:pt idx="11">
                  <c:v>189</c:v>
                </c:pt>
                <c:pt idx="12">
                  <c:v>610</c:v>
                </c:pt>
                <c:pt idx="13">
                  <c:v>440</c:v>
                </c:pt>
                <c:pt idx="14">
                  <c:v>120</c:v>
                </c:pt>
                <c:pt idx="15">
                  <c:v>288</c:v>
                </c:pt>
                <c:pt idx="16">
                  <c:v>485</c:v>
                </c:pt>
                <c:pt idx="17">
                  <c:v>234</c:v>
                </c:pt>
                <c:pt idx="18">
                  <c:v>36</c:v>
                </c:pt>
                <c:pt idx="19">
                  <c:v>576</c:v>
                </c:pt>
                <c:pt idx="20">
                  <c:v>285</c:v>
                </c:pt>
                <c:pt idx="21">
                  <c:v>261</c:v>
                </c:pt>
                <c:pt idx="22">
                  <c:v>276</c:v>
                </c:pt>
                <c:pt idx="23">
                  <c:v>38</c:v>
                </c:pt>
                <c:pt idx="24">
                  <c:v>779</c:v>
                </c:pt>
                <c:pt idx="25">
                  <c:v>401</c:v>
                </c:pt>
                <c:pt idx="26">
                  <c:v>442</c:v>
                </c:pt>
                <c:pt idx="27">
                  <c:v>200</c:v>
                </c:pt>
                <c:pt idx="28">
                  <c:v>477</c:v>
                </c:pt>
              </c:numCache>
            </c:numRef>
          </c:val>
          <c:extLst>
            <c:ext xmlns:c16="http://schemas.microsoft.com/office/drawing/2014/chart" uri="{C3380CC4-5D6E-409C-BE32-E72D297353CC}">
              <c16:uniqueId val="{00000000-8E33-4EE4-88F5-8613B226698F}"/>
            </c:ext>
          </c:extLst>
        </c:ser>
        <c:dLbls>
          <c:showLegendKey val="0"/>
          <c:showVal val="0"/>
          <c:showCatName val="0"/>
          <c:showSerName val="0"/>
          <c:showPercent val="0"/>
          <c:showBubbleSize val="0"/>
        </c:dLbls>
        <c:gapWidth val="219"/>
        <c:overlap val="-27"/>
        <c:axId val="630750808"/>
        <c:axId val="630755072"/>
      </c:barChart>
      <c:lineChart>
        <c:grouping val="standard"/>
        <c:varyColors val="0"/>
        <c:ser>
          <c:idx val="1"/>
          <c:order val="1"/>
          <c:tx>
            <c:strRef>
              <c:f>Tables_charts!$P$20</c:f>
              <c:strCache>
                <c:ptCount val="1"/>
                <c:pt idx="0">
                  <c:v>Sum of Total Revenue</c:v>
                </c:pt>
              </c:strCache>
            </c:strRef>
          </c:tx>
          <c:spPr>
            <a:ln w="28575" cap="rnd">
              <a:solidFill>
                <a:schemeClr val="accent2"/>
              </a:solidFill>
              <a:round/>
            </a:ln>
            <a:effectLst/>
          </c:spPr>
          <c:marker>
            <c:symbol val="none"/>
          </c:marker>
          <c:cat>
            <c:strRef>
              <c:f>Tables_charts!$N$21:$N$50</c:f>
              <c:strCache>
                <c:ptCount val="29"/>
                <c:pt idx="0">
                  <c:v>1-May</c:v>
                </c:pt>
                <c:pt idx="1">
                  <c:v>2-May</c:v>
                </c:pt>
                <c:pt idx="2">
                  <c:v>3-May</c:v>
                </c:pt>
                <c:pt idx="3">
                  <c:v>4-May</c:v>
                </c:pt>
                <c:pt idx="4">
                  <c:v>5-May</c:v>
                </c:pt>
                <c:pt idx="5">
                  <c:v>6-May</c:v>
                </c:pt>
                <c:pt idx="6">
                  <c:v>7-May</c:v>
                </c:pt>
                <c:pt idx="7">
                  <c:v>8-May</c:v>
                </c:pt>
                <c:pt idx="8">
                  <c:v>9-May</c:v>
                </c:pt>
                <c:pt idx="9">
                  <c:v>10-May</c:v>
                </c:pt>
                <c:pt idx="10">
                  <c:v>12-May</c:v>
                </c:pt>
                <c:pt idx="11">
                  <c:v>13-May</c:v>
                </c:pt>
                <c:pt idx="12">
                  <c:v>14-May</c:v>
                </c:pt>
                <c:pt idx="13">
                  <c:v>15-May</c:v>
                </c:pt>
                <c:pt idx="14">
                  <c:v>16-May</c:v>
                </c:pt>
                <c:pt idx="15">
                  <c:v>17-May</c:v>
                </c:pt>
                <c:pt idx="16">
                  <c:v>18-May</c:v>
                </c:pt>
                <c:pt idx="17">
                  <c:v>19-May</c:v>
                </c:pt>
                <c:pt idx="18">
                  <c:v>20-May</c:v>
                </c:pt>
                <c:pt idx="19">
                  <c:v>21-May</c:v>
                </c:pt>
                <c:pt idx="20">
                  <c:v>22-May</c:v>
                </c:pt>
                <c:pt idx="21">
                  <c:v>23-May</c:v>
                </c:pt>
                <c:pt idx="22">
                  <c:v>24-May</c:v>
                </c:pt>
                <c:pt idx="23">
                  <c:v>26-May</c:v>
                </c:pt>
                <c:pt idx="24">
                  <c:v>27-May</c:v>
                </c:pt>
                <c:pt idx="25">
                  <c:v>28-May</c:v>
                </c:pt>
                <c:pt idx="26">
                  <c:v>29-May</c:v>
                </c:pt>
                <c:pt idx="27">
                  <c:v>30-May</c:v>
                </c:pt>
                <c:pt idx="28">
                  <c:v>31-May</c:v>
                </c:pt>
              </c:strCache>
            </c:strRef>
          </c:cat>
          <c:val>
            <c:numRef>
              <c:f>Tables_charts!$P$21:$P$50</c:f>
              <c:numCache>
                <c:formatCode>General</c:formatCode>
                <c:ptCount val="29"/>
                <c:pt idx="0">
                  <c:v>33.36</c:v>
                </c:pt>
                <c:pt idx="1">
                  <c:v>7.6599999999999966</c:v>
                </c:pt>
                <c:pt idx="2">
                  <c:v>11.489999999999995</c:v>
                </c:pt>
                <c:pt idx="3">
                  <c:v>15</c:v>
                </c:pt>
                <c:pt idx="4">
                  <c:v>102.02000000000001</c:v>
                </c:pt>
                <c:pt idx="5">
                  <c:v>42</c:v>
                </c:pt>
                <c:pt idx="6">
                  <c:v>27.159999999999997</c:v>
                </c:pt>
                <c:pt idx="7">
                  <c:v>168.28</c:v>
                </c:pt>
                <c:pt idx="8">
                  <c:v>40.5</c:v>
                </c:pt>
                <c:pt idx="9">
                  <c:v>128.25</c:v>
                </c:pt>
                <c:pt idx="10">
                  <c:v>72</c:v>
                </c:pt>
                <c:pt idx="11">
                  <c:v>59.220000000000006</c:v>
                </c:pt>
                <c:pt idx="12">
                  <c:v>126.59</c:v>
                </c:pt>
                <c:pt idx="13">
                  <c:v>109.75</c:v>
                </c:pt>
                <c:pt idx="14">
                  <c:v>38</c:v>
                </c:pt>
                <c:pt idx="15">
                  <c:v>86.97</c:v>
                </c:pt>
                <c:pt idx="16">
                  <c:v>58.300000000000004</c:v>
                </c:pt>
                <c:pt idx="17">
                  <c:v>72.739999999999995</c:v>
                </c:pt>
                <c:pt idx="18">
                  <c:v>13.5</c:v>
                </c:pt>
                <c:pt idx="19">
                  <c:v>112.41</c:v>
                </c:pt>
                <c:pt idx="20">
                  <c:v>80.360000000000014</c:v>
                </c:pt>
                <c:pt idx="21">
                  <c:v>63.030000000000008</c:v>
                </c:pt>
                <c:pt idx="22">
                  <c:v>85.59</c:v>
                </c:pt>
                <c:pt idx="23">
                  <c:v>9</c:v>
                </c:pt>
                <c:pt idx="24">
                  <c:v>198.75</c:v>
                </c:pt>
                <c:pt idx="25">
                  <c:v>84</c:v>
                </c:pt>
                <c:pt idx="26">
                  <c:v>110.84000000000002</c:v>
                </c:pt>
                <c:pt idx="27">
                  <c:v>36.25</c:v>
                </c:pt>
                <c:pt idx="28">
                  <c:v>104.96999999999998</c:v>
                </c:pt>
              </c:numCache>
            </c:numRef>
          </c:val>
          <c:smooth val="0"/>
          <c:extLst>
            <c:ext xmlns:c16="http://schemas.microsoft.com/office/drawing/2014/chart" uri="{C3380CC4-5D6E-409C-BE32-E72D297353CC}">
              <c16:uniqueId val="{00000001-8E33-4EE4-88F5-8613B226698F}"/>
            </c:ext>
          </c:extLst>
        </c:ser>
        <c:dLbls>
          <c:showLegendKey val="0"/>
          <c:showVal val="0"/>
          <c:showCatName val="0"/>
          <c:showSerName val="0"/>
          <c:showPercent val="0"/>
          <c:showBubbleSize val="0"/>
        </c:dLbls>
        <c:marker val="1"/>
        <c:smooth val="0"/>
        <c:axId val="630762288"/>
        <c:axId val="630763928"/>
      </c:lineChart>
      <c:catAx>
        <c:axId val="6307508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755072"/>
        <c:crosses val="autoZero"/>
        <c:auto val="1"/>
        <c:lblAlgn val="ctr"/>
        <c:lblOffset val="100"/>
        <c:noMultiLvlLbl val="0"/>
      </c:catAx>
      <c:valAx>
        <c:axId val="6307550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750808"/>
        <c:crosses val="autoZero"/>
        <c:crossBetween val="between"/>
      </c:valAx>
      <c:valAx>
        <c:axId val="630763928"/>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762288"/>
        <c:crosses val="max"/>
        <c:crossBetween val="between"/>
      </c:valAx>
      <c:catAx>
        <c:axId val="630762288"/>
        <c:scaling>
          <c:orientation val="minMax"/>
        </c:scaling>
        <c:delete val="1"/>
        <c:axPos val="b"/>
        <c:numFmt formatCode="General" sourceLinked="1"/>
        <c:majorTickMark val="out"/>
        <c:minorTickMark val="none"/>
        <c:tickLblPos val="nextTo"/>
        <c:crossAx val="63076392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[Store Sales Monitoring Dashboard.xlsx]Tables_charts!PivotTable3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PER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s>
    <c:plotArea>
      <c:layout/>
      <c:pieChart>
        <c:varyColors val="1"/>
        <c:ser>
          <c:idx val="0"/>
          <c:order val="0"/>
          <c:tx>
            <c:strRef>
              <c:f>Tables_charts!$O$3</c:f>
              <c:strCache>
                <c:ptCount val="1"/>
                <c:pt idx="0">
                  <c:v>Sum of Quantity</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A35-446D-BE65-B212A4D354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A35-446D-BE65-B212A4D354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A35-446D-BE65-B212A4D3548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A35-446D-BE65-B212A4D3548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A35-446D-BE65-B212A4D3548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EA35-446D-BE65-B212A4D3548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EA35-446D-BE65-B212A4D3548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EA35-446D-BE65-B212A4D3548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EA35-446D-BE65-B212A4D3548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EA35-446D-BE65-B212A4D3548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EA35-446D-BE65-B212A4D3548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EA35-446D-BE65-B212A4D3548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EA35-446D-BE65-B212A4D354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Tables_charts!$N$4:$N$17</c:f>
              <c:strCache>
                <c:ptCount val="13"/>
                <c:pt idx="0">
                  <c:v>Beverages </c:v>
                </c:pt>
                <c:pt idx="1">
                  <c:v>Biscuits and Cookies</c:v>
                </c:pt>
                <c:pt idx="2">
                  <c:v>Breads and Pastries</c:v>
                </c:pt>
                <c:pt idx="3">
                  <c:v>Candies and Sweets</c:v>
                </c:pt>
                <c:pt idx="4">
                  <c:v>Canned Goods</c:v>
                </c:pt>
                <c:pt idx="5">
                  <c:v>Cleaning Supplies</c:v>
                </c:pt>
                <c:pt idx="6">
                  <c:v>Condiments and Sauces</c:v>
                </c:pt>
                <c:pt idx="7">
                  <c:v>Cooking Oil</c:v>
                </c:pt>
                <c:pt idx="8">
                  <c:v>Frozen Goods</c:v>
                </c:pt>
                <c:pt idx="9">
                  <c:v>Instant Noodles</c:v>
                </c:pt>
                <c:pt idx="10">
                  <c:v>Personal Care </c:v>
                </c:pt>
                <c:pt idx="11">
                  <c:v>Rice and Grains</c:v>
                </c:pt>
                <c:pt idx="12">
                  <c:v>Snacks and Chips</c:v>
                </c:pt>
              </c:strCache>
            </c:strRef>
          </c:cat>
          <c:val>
            <c:numRef>
              <c:f>Tables_charts!$O$4:$O$17</c:f>
              <c:numCache>
                <c:formatCode>General</c:formatCode>
                <c:ptCount val="13"/>
                <c:pt idx="0">
                  <c:v>92</c:v>
                </c:pt>
                <c:pt idx="1">
                  <c:v>30</c:v>
                </c:pt>
                <c:pt idx="2">
                  <c:v>15</c:v>
                </c:pt>
                <c:pt idx="3">
                  <c:v>16</c:v>
                </c:pt>
                <c:pt idx="4">
                  <c:v>34</c:v>
                </c:pt>
                <c:pt idx="5">
                  <c:v>22</c:v>
                </c:pt>
                <c:pt idx="6">
                  <c:v>22</c:v>
                </c:pt>
                <c:pt idx="7">
                  <c:v>16</c:v>
                </c:pt>
                <c:pt idx="8">
                  <c:v>16</c:v>
                </c:pt>
                <c:pt idx="9">
                  <c:v>38</c:v>
                </c:pt>
                <c:pt idx="10">
                  <c:v>36</c:v>
                </c:pt>
                <c:pt idx="11">
                  <c:v>28</c:v>
                </c:pt>
                <c:pt idx="12">
                  <c:v>32</c:v>
                </c:pt>
              </c:numCache>
            </c:numRef>
          </c:val>
          <c:extLst>
            <c:ext xmlns:c16="http://schemas.microsoft.com/office/drawing/2014/chart" uri="{C3380CC4-5D6E-409C-BE32-E72D297353CC}">
              <c16:uniqueId val="{00000000-0A95-40B4-B8FD-674F0EE049F0}"/>
            </c:ext>
          </c:extLst>
        </c:ser>
        <c:ser>
          <c:idx val="1"/>
          <c:order val="1"/>
          <c:tx>
            <c:strRef>
              <c:f>Tables_charts!$P$3</c:f>
              <c:strCache>
                <c:ptCount val="1"/>
                <c:pt idx="0">
                  <c:v>Sum of Total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B-EA35-446D-BE65-B212A4D354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D-EA35-446D-BE65-B212A4D3548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F-EA35-446D-BE65-B212A4D3548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1-EA35-446D-BE65-B212A4D35482}"/>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3-EA35-446D-BE65-B212A4D35482}"/>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5-EA35-446D-BE65-B212A4D35482}"/>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27-EA35-446D-BE65-B212A4D35482}"/>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29-EA35-446D-BE65-B212A4D35482}"/>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2B-EA35-446D-BE65-B212A4D35482}"/>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2D-EA35-446D-BE65-B212A4D35482}"/>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2F-EA35-446D-BE65-B212A4D35482}"/>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1-EA35-446D-BE65-B212A4D35482}"/>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3-EA35-446D-BE65-B212A4D354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Tables_charts!$N$4:$N$17</c:f>
              <c:strCache>
                <c:ptCount val="13"/>
                <c:pt idx="0">
                  <c:v>Beverages </c:v>
                </c:pt>
                <c:pt idx="1">
                  <c:v>Biscuits and Cookies</c:v>
                </c:pt>
                <c:pt idx="2">
                  <c:v>Breads and Pastries</c:v>
                </c:pt>
                <c:pt idx="3">
                  <c:v>Candies and Sweets</c:v>
                </c:pt>
                <c:pt idx="4">
                  <c:v>Canned Goods</c:v>
                </c:pt>
                <c:pt idx="5">
                  <c:v>Cleaning Supplies</c:v>
                </c:pt>
                <c:pt idx="6">
                  <c:v>Condiments and Sauces</c:v>
                </c:pt>
                <c:pt idx="7">
                  <c:v>Cooking Oil</c:v>
                </c:pt>
                <c:pt idx="8">
                  <c:v>Frozen Goods</c:v>
                </c:pt>
                <c:pt idx="9">
                  <c:v>Instant Noodles</c:v>
                </c:pt>
                <c:pt idx="10">
                  <c:v>Personal Care </c:v>
                </c:pt>
                <c:pt idx="11">
                  <c:v>Rice and Grains</c:v>
                </c:pt>
                <c:pt idx="12">
                  <c:v>Snacks and Chips</c:v>
                </c:pt>
              </c:strCache>
            </c:strRef>
          </c:cat>
          <c:val>
            <c:numRef>
              <c:f>Tables_charts!$P$4:$P$17</c:f>
              <c:numCache>
                <c:formatCode>General</c:formatCode>
                <c:ptCount val="13"/>
                <c:pt idx="0">
                  <c:v>1450</c:v>
                </c:pt>
                <c:pt idx="1">
                  <c:v>396</c:v>
                </c:pt>
                <c:pt idx="2">
                  <c:v>303</c:v>
                </c:pt>
                <c:pt idx="3">
                  <c:v>78</c:v>
                </c:pt>
                <c:pt idx="4">
                  <c:v>1181</c:v>
                </c:pt>
                <c:pt idx="5">
                  <c:v>421</c:v>
                </c:pt>
                <c:pt idx="6">
                  <c:v>575</c:v>
                </c:pt>
                <c:pt idx="7">
                  <c:v>707</c:v>
                </c:pt>
                <c:pt idx="8">
                  <c:v>649</c:v>
                </c:pt>
                <c:pt idx="9">
                  <c:v>704</c:v>
                </c:pt>
                <c:pt idx="10">
                  <c:v>756</c:v>
                </c:pt>
                <c:pt idx="11">
                  <c:v>1191</c:v>
                </c:pt>
                <c:pt idx="12">
                  <c:v>751</c:v>
                </c:pt>
              </c:numCache>
            </c:numRef>
          </c:val>
          <c:extLst>
            <c:ext xmlns:c16="http://schemas.microsoft.com/office/drawing/2014/chart" uri="{C3380CC4-5D6E-409C-BE32-E72D297353CC}">
              <c16:uniqueId val="{00000001-0A95-40B4-B8FD-674F0EE049F0}"/>
            </c:ext>
          </c:extLst>
        </c:ser>
        <c:dLbls>
          <c:dLblPos val="in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371473</xdr:colOff>
      <xdr:row>3</xdr:row>
      <xdr:rowOff>0</xdr:rowOff>
    </xdr:from>
    <xdr:to>
      <xdr:col>13</xdr:col>
      <xdr:colOff>625927</xdr:colOff>
      <xdr:row>9</xdr:row>
      <xdr:rowOff>133350</xdr:rowOff>
    </xdr:to>
    <xdr:sp macro="" textlink="">
      <xdr:nvSpPr>
        <xdr:cNvPr id="2" name="Rectangle: Rounded Corners 1">
          <a:extLst>
            <a:ext uri="{FF2B5EF4-FFF2-40B4-BE49-F238E27FC236}">
              <a16:creationId xmlns:a16="http://schemas.microsoft.com/office/drawing/2014/main" id="{EDC22A58-BBAB-48C8-A232-587BC4E3085A}"/>
            </a:ext>
          </a:extLst>
        </xdr:cNvPr>
        <xdr:cNvSpPr/>
      </xdr:nvSpPr>
      <xdr:spPr>
        <a:xfrm>
          <a:off x="371473" y="628650"/>
          <a:ext cx="10122354" cy="1390650"/>
        </a:xfrm>
        <a:prstGeom prst="roundRect">
          <a:avLst/>
        </a:prstGeom>
        <a:solidFill>
          <a:schemeClr val="accent1"/>
        </a:solidFill>
        <a:ln>
          <a:solidFill>
            <a:schemeClr val="tx2"/>
          </a:solidFill>
        </a:ln>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ctr"/>
        <a:lstStyle/>
        <a:p>
          <a:pPr algn="ctr"/>
          <a:r>
            <a:rPr lang="en-US" sz="4800" b="1">
              <a:solidFill>
                <a:schemeClr val="bg1"/>
              </a:solidFill>
              <a:latin typeface="Cambria" panose="02040503050406030204" pitchFamily="18" charset="0"/>
              <a:ea typeface="Cambria" panose="02040503050406030204" pitchFamily="18" charset="0"/>
            </a:rPr>
            <a:t>STORE</a:t>
          </a:r>
          <a:r>
            <a:rPr lang="en-US" sz="4800" b="1" baseline="0">
              <a:solidFill>
                <a:schemeClr val="bg1"/>
              </a:solidFill>
              <a:latin typeface="Cambria" panose="02040503050406030204" pitchFamily="18" charset="0"/>
              <a:ea typeface="Cambria" panose="02040503050406030204" pitchFamily="18" charset="0"/>
            </a:rPr>
            <a:t> </a:t>
          </a:r>
          <a:r>
            <a:rPr lang="en-US" sz="4800" b="1">
              <a:solidFill>
                <a:schemeClr val="bg1"/>
              </a:solidFill>
              <a:latin typeface="Cambria" panose="02040503050406030204" pitchFamily="18" charset="0"/>
              <a:ea typeface="Cambria" panose="02040503050406030204" pitchFamily="18" charset="0"/>
            </a:rPr>
            <a:t>MONTHLY SALES</a:t>
          </a:r>
        </a:p>
      </xdr:txBody>
    </xdr:sp>
    <xdr:clientData/>
  </xdr:twoCellAnchor>
  <xdr:twoCellAnchor>
    <xdr:from>
      <xdr:col>13</xdr:col>
      <xdr:colOff>1030055</xdr:colOff>
      <xdr:row>3</xdr:row>
      <xdr:rowOff>0</xdr:rowOff>
    </xdr:from>
    <xdr:to>
      <xdr:col>17</xdr:col>
      <xdr:colOff>938893</xdr:colOff>
      <xdr:row>9</xdr:row>
      <xdr:rowOff>133350</xdr:rowOff>
    </xdr:to>
    <xdr:sp macro="" textlink="">
      <xdr:nvSpPr>
        <xdr:cNvPr id="3" name="Rectangle: Rounded Corners 2">
          <a:extLst>
            <a:ext uri="{FF2B5EF4-FFF2-40B4-BE49-F238E27FC236}">
              <a16:creationId xmlns:a16="http://schemas.microsoft.com/office/drawing/2014/main" id="{93DBBED8-2B0E-4790-841B-4423CC417B96}"/>
            </a:ext>
          </a:extLst>
        </xdr:cNvPr>
        <xdr:cNvSpPr/>
      </xdr:nvSpPr>
      <xdr:spPr>
        <a:xfrm>
          <a:off x="10827198" y="612321"/>
          <a:ext cx="3637195" cy="1357993"/>
        </a:xfrm>
        <a:prstGeom prst="roundRect">
          <a:avLst/>
        </a:prstGeom>
        <a:solidFill>
          <a:schemeClr val="accent1"/>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latin typeface="Cambria" panose="02040503050406030204" pitchFamily="18" charset="0"/>
              <a:ea typeface="Cambria" panose="02040503050406030204" pitchFamily="18" charset="0"/>
            </a:rPr>
            <a:t>TOTAL SALES</a:t>
          </a:r>
        </a:p>
      </xdr:txBody>
    </xdr:sp>
    <xdr:clientData/>
  </xdr:twoCellAnchor>
  <xdr:twoCellAnchor>
    <xdr:from>
      <xdr:col>17</xdr:col>
      <xdr:colOff>1523999</xdr:colOff>
      <xdr:row>3</xdr:row>
      <xdr:rowOff>0</xdr:rowOff>
    </xdr:from>
    <xdr:to>
      <xdr:col>20</xdr:col>
      <xdr:colOff>450272</xdr:colOff>
      <xdr:row>9</xdr:row>
      <xdr:rowOff>133350</xdr:rowOff>
    </xdr:to>
    <xdr:sp macro="" textlink="">
      <xdr:nvSpPr>
        <xdr:cNvPr id="4" name="Rectangle: Rounded Corners 3">
          <a:extLst>
            <a:ext uri="{FF2B5EF4-FFF2-40B4-BE49-F238E27FC236}">
              <a16:creationId xmlns:a16="http://schemas.microsoft.com/office/drawing/2014/main" id="{B87FF4FD-F554-4FF3-BF10-3219B7D53148}"/>
            </a:ext>
          </a:extLst>
        </xdr:cNvPr>
        <xdr:cNvSpPr/>
      </xdr:nvSpPr>
      <xdr:spPr>
        <a:xfrm>
          <a:off x="15144749" y="628650"/>
          <a:ext cx="3231573" cy="1390650"/>
        </a:xfrm>
        <a:prstGeom prst="roundRect">
          <a:avLst/>
        </a:prstGeom>
        <a:solidFill>
          <a:schemeClr val="accent1"/>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a:solidFill>
                <a:schemeClr val="bg1"/>
              </a:solidFill>
              <a:latin typeface="Cambria" panose="02040503050406030204" pitchFamily="18" charset="0"/>
              <a:ea typeface="Cambria" panose="02040503050406030204" pitchFamily="18" charset="0"/>
            </a:rPr>
            <a:t>MONTHLY</a:t>
          </a:r>
          <a:r>
            <a:rPr lang="en-US" sz="1800" b="1">
              <a:solidFill>
                <a:schemeClr val="tx1"/>
              </a:solidFill>
              <a:latin typeface="Cambria" panose="02040503050406030204" pitchFamily="18" charset="0"/>
              <a:ea typeface="Cambria" panose="02040503050406030204" pitchFamily="18" charset="0"/>
            </a:rPr>
            <a:t> </a:t>
          </a:r>
          <a:r>
            <a:rPr lang="en-US" sz="1800" b="1">
              <a:solidFill>
                <a:schemeClr val="bg1"/>
              </a:solidFill>
              <a:latin typeface="Cambria" panose="02040503050406030204" pitchFamily="18" charset="0"/>
              <a:ea typeface="Cambria" panose="02040503050406030204" pitchFamily="18" charset="0"/>
            </a:rPr>
            <a:t>SALES</a:t>
          </a:r>
        </a:p>
      </xdr:txBody>
    </xdr:sp>
    <xdr:clientData/>
  </xdr:twoCellAnchor>
  <xdr:twoCellAnchor>
    <xdr:from>
      <xdr:col>21</xdr:col>
      <xdr:colOff>467591</xdr:colOff>
      <xdr:row>3</xdr:row>
      <xdr:rowOff>0</xdr:rowOff>
    </xdr:from>
    <xdr:to>
      <xdr:col>23</xdr:col>
      <xdr:colOff>1415140</xdr:colOff>
      <xdr:row>9</xdr:row>
      <xdr:rowOff>133350</xdr:rowOff>
    </xdr:to>
    <xdr:sp macro="" textlink="">
      <xdr:nvSpPr>
        <xdr:cNvPr id="5" name="Rectangle: Rounded Corners 4">
          <a:extLst>
            <a:ext uri="{FF2B5EF4-FFF2-40B4-BE49-F238E27FC236}">
              <a16:creationId xmlns:a16="http://schemas.microsoft.com/office/drawing/2014/main" id="{5F670741-5AA6-41ED-9288-2B356266C89E}"/>
            </a:ext>
          </a:extLst>
        </xdr:cNvPr>
        <xdr:cNvSpPr/>
      </xdr:nvSpPr>
      <xdr:spPr>
        <a:xfrm>
          <a:off x="18686318" y="623455"/>
          <a:ext cx="3649186" cy="1380259"/>
        </a:xfrm>
        <a:prstGeom prst="roundRect">
          <a:avLst/>
        </a:prstGeom>
        <a:solidFill>
          <a:schemeClr val="accent1"/>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endParaRPr lang="en-US" sz="1400" b="1"/>
        </a:p>
      </xdr:txBody>
    </xdr:sp>
    <xdr:clientData/>
  </xdr:twoCellAnchor>
  <xdr:twoCellAnchor>
    <xdr:from>
      <xdr:col>0</xdr:col>
      <xdr:colOff>333374</xdr:colOff>
      <xdr:row>11</xdr:row>
      <xdr:rowOff>151532</xdr:rowOff>
    </xdr:from>
    <xdr:to>
      <xdr:col>4</xdr:col>
      <xdr:colOff>333375</xdr:colOff>
      <xdr:row>29</xdr:row>
      <xdr:rowOff>133350</xdr:rowOff>
    </xdr:to>
    <xdr:sp macro="" textlink="">
      <xdr:nvSpPr>
        <xdr:cNvPr id="6" name="Rectangle: Rounded Corners 5">
          <a:extLst>
            <a:ext uri="{FF2B5EF4-FFF2-40B4-BE49-F238E27FC236}">
              <a16:creationId xmlns:a16="http://schemas.microsoft.com/office/drawing/2014/main" id="{0B9EB1BC-A527-47F5-AB80-B9C028D3A670}"/>
            </a:ext>
          </a:extLst>
        </xdr:cNvPr>
        <xdr:cNvSpPr/>
      </xdr:nvSpPr>
      <xdr:spPr>
        <a:xfrm>
          <a:off x="333374" y="2396711"/>
          <a:ext cx="2721430" cy="3655746"/>
        </a:xfrm>
        <a:prstGeom prst="roundRect">
          <a:avLst/>
        </a:prstGeom>
        <a:solidFill>
          <a:schemeClr val="accent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542925</xdr:colOff>
      <xdr:row>11</xdr:row>
      <xdr:rowOff>96980</xdr:rowOff>
    </xdr:from>
    <xdr:to>
      <xdr:col>24</xdr:col>
      <xdr:colOff>68036</xdr:colOff>
      <xdr:row>30</xdr:row>
      <xdr:rowOff>156882</xdr:rowOff>
    </xdr:to>
    <xdr:sp macro="" textlink="">
      <xdr:nvSpPr>
        <xdr:cNvPr id="7" name="Rectangle: Rounded Corners 6">
          <a:extLst>
            <a:ext uri="{FF2B5EF4-FFF2-40B4-BE49-F238E27FC236}">
              <a16:creationId xmlns:a16="http://schemas.microsoft.com/office/drawing/2014/main" id="{515495E6-7FA8-4C15-98C5-19A1A03D7D86}"/>
            </a:ext>
          </a:extLst>
        </xdr:cNvPr>
        <xdr:cNvSpPr/>
      </xdr:nvSpPr>
      <xdr:spPr>
        <a:xfrm>
          <a:off x="3264354" y="2342159"/>
          <a:ext cx="19963039" cy="3937937"/>
        </a:xfrm>
        <a:prstGeom prst="roundRect">
          <a:avLst/>
        </a:prstGeom>
        <a:solidFill>
          <a:schemeClr val="accent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15</xdr:col>
      <xdr:colOff>95250</xdr:colOff>
      <xdr:row>7</xdr:row>
      <xdr:rowOff>76200</xdr:rowOff>
    </xdr:from>
    <xdr:ext cx="184731" cy="264560"/>
    <xdr:sp macro="" textlink="">
      <xdr:nvSpPr>
        <xdr:cNvPr id="11" name="TextBox 10">
          <a:extLst>
            <a:ext uri="{FF2B5EF4-FFF2-40B4-BE49-F238E27FC236}">
              <a16:creationId xmlns:a16="http://schemas.microsoft.com/office/drawing/2014/main" id="{F25C6C37-7DDE-4DC5-B607-AA8E3F36D2E7}"/>
            </a:ext>
          </a:extLst>
        </xdr:cNvPr>
        <xdr:cNvSpPr txBox="1"/>
      </xdr:nvSpPr>
      <xdr:spPr>
        <a:xfrm>
          <a:off x="10382250" y="14763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14</xdr:col>
      <xdr:colOff>351062</xdr:colOff>
      <xdr:row>6</xdr:row>
      <xdr:rowOff>21771</xdr:rowOff>
    </xdr:from>
    <xdr:to>
      <xdr:col>15</xdr:col>
      <xdr:colOff>322487</xdr:colOff>
      <xdr:row>8</xdr:row>
      <xdr:rowOff>78922</xdr:rowOff>
    </xdr:to>
    <xdr:sp macro="" textlink="">
      <xdr:nvSpPr>
        <xdr:cNvPr id="17" name="TextBox 16">
          <a:extLst>
            <a:ext uri="{FF2B5EF4-FFF2-40B4-BE49-F238E27FC236}">
              <a16:creationId xmlns:a16="http://schemas.microsoft.com/office/drawing/2014/main" id="{062F6A1A-65B2-41E0-B2AF-0A1975C450C0}"/>
            </a:ext>
          </a:extLst>
        </xdr:cNvPr>
        <xdr:cNvSpPr txBox="1"/>
      </xdr:nvSpPr>
      <xdr:spPr>
        <a:xfrm>
          <a:off x="11263991" y="1246414"/>
          <a:ext cx="1223282" cy="46536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bg1"/>
              </a:solidFill>
              <a:latin typeface="Cambria" panose="02040503050406030204" pitchFamily="18" charset="0"/>
              <a:ea typeface="Cambria" panose="02040503050406030204" pitchFamily="18" charset="0"/>
            </a:rPr>
            <a:t>PHP</a:t>
          </a:r>
        </a:p>
      </xdr:txBody>
    </xdr:sp>
    <xdr:clientData/>
  </xdr:twoCellAnchor>
  <xdr:twoCellAnchor>
    <xdr:from>
      <xdr:col>18</xdr:col>
      <xdr:colOff>363682</xdr:colOff>
      <xdr:row>5</xdr:row>
      <xdr:rowOff>187778</xdr:rowOff>
    </xdr:from>
    <xdr:to>
      <xdr:col>18</xdr:col>
      <xdr:colOff>1153882</xdr:colOff>
      <xdr:row>8</xdr:row>
      <xdr:rowOff>40822</xdr:rowOff>
    </xdr:to>
    <xdr:sp macro="" textlink="">
      <xdr:nvSpPr>
        <xdr:cNvPr id="18" name="TextBox 17">
          <a:extLst>
            <a:ext uri="{FF2B5EF4-FFF2-40B4-BE49-F238E27FC236}">
              <a16:creationId xmlns:a16="http://schemas.microsoft.com/office/drawing/2014/main" id="{C8197A2A-1743-42EF-8CA1-85DF1D421EAA}"/>
            </a:ext>
          </a:extLst>
        </xdr:cNvPr>
        <xdr:cNvSpPr txBox="1"/>
      </xdr:nvSpPr>
      <xdr:spPr>
        <a:xfrm>
          <a:off x="15621000" y="1226869"/>
          <a:ext cx="790200" cy="476498"/>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ln>
                <a:noFill/>
              </a:ln>
              <a:solidFill>
                <a:schemeClr val="bg1"/>
              </a:solidFill>
              <a:latin typeface="Cambria" panose="02040503050406030204" pitchFamily="18" charset="0"/>
              <a:ea typeface="Cambria" panose="02040503050406030204" pitchFamily="18" charset="0"/>
            </a:rPr>
            <a:t>PHP</a:t>
          </a:r>
        </a:p>
      </xdr:txBody>
    </xdr:sp>
    <xdr:clientData/>
  </xdr:twoCellAnchor>
  <xdr:oneCellAnchor>
    <xdr:from>
      <xdr:col>18</xdr:col>
      <xdr:colOff>1152528</xdr:colOff>
      <xdr:row>5</xdr:row>
      <xdr:rowOff>46265</xdr:rowOff>
    </xdr:from>
    <xdr:ext cx="1248034" cy="618503"/>
    <xdr:sp macro="" textlink="Tables_charts!S8">
      <xdr:nvSpPr>
        <xdr:cNvPr id="19" name="TextBox 18">
          <a:extLst>
            <a:ext uri="{FF2B5EF4-FFF2-40B4-BE49-F238E27FC236}">
              <a16:creationId xmlns:a16="http://schemas.microsoft.com/office/drawing/2014/main" id="{6D6BF33B-B54C-45A6-B030-A61BBBEC7C56}"/>
            </a:ext>
          </a:extLst>
        </xdr:cNvPr>
        <xdr:cNvSpPr txBox="1"/>
      </xdr:nvSpPr>
      <xdr:spPr>
        <a:xfrm>
          <a:off x="16496437" y="1085356"/>
          <a:ext cx="1248034" cy="61850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F0EAA1F-7FBB-4EC8-8EDD-AD5630B41739}" type="TxLink">
            <a:rPr lang="en-US" sz="3500" b="1" i="0" u="none" strike="noStrike">
              <a:solidFill>
                <a:schemeClr val="bg1"/>
              </a:solidFill>
              <a:latin typeface="Cambria" panose="02040503050406030204" pitchFamily="18" charset="0"/>
              <a:ea typeface="Cambria" panose="02040503050406030204" pitchFamily="18" charset="0"/>
              <a:cs typeface="Calibri"/>
            </a:rPr>
            <a:pPr/>
            <a:t>9162</a:t>
          </a:fld>
          <a:endParaRPr lang="en-US" sz="3500" b="1">
            <a:solidFill>
              <a:schemeClr val="bg1"/>
            </a:solidFill>
            <a:latin typeface="Cambria" panose="02040503050406030204" pitchFamily="18" charset="0"/>
            <a:ea typeface="Cambria" panose="02040503050406030204" pitchFamily="18" charset="0"/>
          </a:endParaRPr>
        </a:p>
      </xdr:txBody>
    </xdr:sp>
    <xdr:clientData/>
  </xdr:oneCellAnchor>
  <xdr:oneCellAnchor>
    <xdr:from>
      <xdr:col>21</xdr:col>
      <xdr:colOff>569768</xdr:colOff>
      <xdr:row>5</xdr:row>
      <xdr:rowOff>183697</xdr:rowOff>
    </xdr:from>
    <xdr:ext cx="1961161" cy="513282"/>
    <xdr:sp macro="" textlink="Tables_charts!S6">
      <xdr:nvSpPr>
        <xdr:cNvPr id="20" name="TextBox 19">
          <a:extLst>
            <a:ext uri="{FF2B5EF4-FFF2-40B4-BE49-F238E27FC236}">
              <a16:creationId xmlns:a16="http://schemas.microsoft.com/office/drawing/2014/main" id="{55E55399-B257-4D2F-82EB-182DEB094FA2}"/>
            </a:ext>
          </a:extLst>
        </xdr:cNvPr>
        <xdr:cNvSpPr txBox="1"/>
      </xdr:nvSpPr>
      <xdr:spPr>
        <a:xfrm>
          <a:off x="18875086" y="1222788"/>
          <a:ext cx="1961161" cy="513282"/>
        </a:xfrm>
        <a:prstGeom prst="rect">
          <a:avLst/>
        </a:prstGeom>
        <a:solidFill>
          <a:schemeClr val="accent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B41D63B7-AF95-4205-B581-473C20670D66}" type="TxLink">
            <a:rPr lang="en-US" sz="2800" b="1" i="0" u="none" strike="noStrike">
              <a:solidFill>
                <a:schemeClr val="bg1"/>
              </a:solidFill>
              <a:latin typeface="Cambria" panose="02040503050406030204" pitchFamily="18" charset="0"/>
              <a:ea typeface="Cambria" panose="02040503050406030204" pitchFamily="18" charset="0"/>
              <a:cs typeface="Calibri"/>
            </a:rPr>
            <a:pPr/>
            <a:t>Beverages </a:t>
          </a:fld>
          <a:endParaRPr lang="en-US" sz="2800" b="1">
            <a:solidFill>
              <a:schemeClr val="bg1"/>
            </a:solidFill>
            <a:latin typeface="Cambria" panose="02040503050406030204" pitchFamily="18" charset="0"/>
            <a:ea typeface="Cambria" panose="02040503050406030204" pitchFamily="18" charset="0"/>
          </a:endParaRPr>
        </a:p>
      </xdr:txBody>
    </xdr:sp>
    <xdr:clientData/>
  </xdr:oneCellAnchor>
  <xdr:oneCellAnchor>
    <xdr:from>
      <xdr:col>23</xdr:col>
      <xdr:colOff>311727</xdr:colOff>
      <xdr:row>5</xdr:row>
      <xdr:rowOff>114302</xdr:rowOff>
    </xdr:from>
    <xdr:ext cx="923799" cy="640240"/>
    <xdr:sp macro="" textlink="Tables_charts!S4">
      <xdr:nvSpPr>
        <xdr:cNvPr id="21" name="TextBox 20">
          <a:extLst>
            <a:ext uri="{FF2B5EF4-FFF2-40B4-BE49-F238E27FC236}">
              <a16:creationId xmlns:a16="http://schemas.microsoft.com/office/drawing/2014/main" id="{9109E38C-C869-4289-BD90-6A9FAC3ED51F}"/>
            </a:ext>
          </a:extLst>
        </xdr:cNvPr>
        <xdr:cNvSpPr txBox="1"/>
      </xdr:nvSpPr>
      <xdr:spPr>
        <a:xfrm>
          <a:off x="21232091" y="1153393"/>
          <a:ext cx="923799" cy="64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194544B4-8258-4947-B2AE-909B8CDD6A61}" type="TxLink">
            <a:rPr lang="en-US" sz="3500" b="1" i="0" u="none" strike="noStrike">
              <a:solidFill>
                <a:schemeClr val="bg1"/>
              </a:solidFill>
              <a:latin typeface="Calibri"/>
              <a:cs typeface="Calibri"/>
            </a:rPr>
            <a:pPr/>
            <a:t>92</a:t>
          </a:fld>
          <a:endParaRPr lang="en-US" sz="3500" b="1">
            <a:solidFill>
              <a:schemeClr val="bg1"/>
            </a:solidFill>
          </a:endParaRPr>
        </a:p>
      </xdr:txBody>
    </xdr:sp>
    <xdr:clientData/>
  </xdr:oneCellAnchor>
  <xdr:twoCellAnchor editAs="oneCell">
    <xdr:from>
      <xdr:col>0</xdr:col>
      <xdr:colOff>523872</xdr:colOff>
      <xdr:row>13</xdr:row>
      <xdr:rowOff>73166</xdr:rowOff>
    </xdr:from>
    <xdr:to>
      <xdr:col>4</xdr:col>
      <xdr:colOff>66672</xdr:colOff>
      <xdr:row>27</xdr:row>
      <xdr:rowOff>171450</xdr:rowOff>
    </xdr:to>
    <mc:AlternateContent xmlns:mc="http://schemas.openxmlformats.org/markup-compatibility/2006" xmlns:a14="http://schemas.microsoft.com/office/drawing/2010/main">
      <mc:Choice Requires="a14">
        <xdr:graphicFrame macro="">
          <xdr:nvGraphicFramePr>
            <xdr:cNvPr id="22" name="Months 1">
              <a:extLst>
                <a:ext uri="{FF2B5EF4-FFF2-40B4-BE49-F238E27FC236}">
                  <a16:creationId xmlns:a16="http://schemas.microsoft.com/office/drawing/2014/main" id="{EABE76A2-9010-4102-8C08-BAB7E02DB38E}"/>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523872" y="2549666"/>
              <a:ext cx="2305050" cy="27652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356695</xdr:colOff>
      <xdr:row>12</xdr:row>
      <xdr:rowOff>170089</xdr:rowOff>
    </xdr:from>
    <xdr:to>
      <xdr:col>23</xdr:col>
      <xdr:colOff>1102177</xdr:colOff>
      <xdr:row>29</xdr:row>
      <xdr:rowOff>72037</xdr:rowOff>
    </xdr:to>
    <xdr:graphicFrame macro="">
      <xdr:nvGraphicFramePr>
        <xdr:cNvPr id="23" name="Chart 22">
          <a:extLst>
            <a:ext uri="{FF2B5EF4-FFF2-40B4-BE49-F238E27FC236}">
              <a16:creationId xmlns:a16="http://schemas.microsoft.com/office/drawing/2014/main" id="{98807164-3CF0-472A-ADFA-72DDEF0C5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333374</xdr:colOff>
      <xdr:row>32</xdr:row>
      <xdr:rowOff>119925</xdr:rowOff>
    </xdr:from>
    <xdr:to>
      <xdr:col>16</xdr:col>
      <xdr:colOff>326571</xdr:colOff>
      <xdr:row>65</xdr:row>
      <xdr:rowOff>173182</xdr:rowOff>
    </xdr:to>
    <xdr:sp macro="" textlink="">
      <xdr:nvSpPr>
        <xdr:cNvPr id="26" name="Rectangle: Rounded Corners 25">
          <a:extLst>
            <a:ext uri="{FF2B5EF4-FFF2-40B4-BE49-F238E27FC236}">
              <a16:creationId xmlns:a16="http://schemas.microsoft.com/office/drawing/2014/main" id="{AB4632B8-5AE9-4FE5-8E1E-3C960DA40E35}"/>
            </a:ext>
          </a:extLst>
        </xdr:cNvPr>
        <xdr:cNvSpPr/>
      </xdr:nvSpPr>
      <xdr:spPr>
        <a:xfrm>
          <a:off x="333374" y="6651354"/>
          <a:ext cx="12838340" cy="6788792"/>
        </a:xfrm>
        <a:prstGeom prst="roundRect">
          <a:avLst/>
        </a:prstGeom>
        <a:solidFill>
          <a:schemeClr val="accent1"/>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ln>
              <a:solidFill>
                <a:schemeClr val="accent6">
                  <a:lumMod val="40000"/>
                  <a:lumOff val="60000"/>
                </a:schemeClr>
              </a:solidFill>
            </a:ln>
            <a:solidFill>
              <a:schemeClr val="accent6">
                <a:lumMod val="60000"/>
                <a:lumOff val="40000"/>
              </a:schemeClr>
            </a:solidFill>
          </a:endParaRPr>
        </a:p>
      </xdr:txBody>
    </xdr:sp>
    <xdr:clientData/>
  </xdr:twoCellAnchor>
  <xdr:twoCellAnchor>
    <xdr:from>
      <xdr:col>1</xdr:col>
      <xdr:colOff>72494</xdr:colOff>
      <xdr:row>35</xdr:row>
      <xdr:rowOff>27242</xdr:rowOff>
    </xdr:from>
    <xdr:to>
      <xdr:col>15</xdr:col>
      <xdr:colOff>581025</xdr:colOff>
      <xdr:row>63</xdr:row>
      <xdr:rowOff>115134</xdr:rowOff>
    </xdr:to>
    <xdr:graphicFrame macro="">
      <xdr:nvGraphicFramePr>
        <xdr:cNvPr id="29" name="Chart 28">
          <a:extLst>
            <a:ext uri="{FF2B5EF4-FFF2-40B4-BE49-F238E27FC236}">
              <a16:creationId xmlns:a16="http://schemas.microsoft.com/office/drawing/2014/main" id="{EA113879-E8DA-41B5-B350-12E686DF5F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15</xdr:col>
      <xdr:colOff>81642</xdr:colOff>
      <xdr:row>5</xdr:row>
      <xdr:rowOff>81643</xdr:rowOff>
    </xdr:from>
    <xdr:ext cx="1687286" cy="640240"/>
    <xdr:sp macro="" textlink="'sale_data duplicate'!N2">
      <xdr:nvSpPr>
        <xdr:cNvPr id="30" name="TextBox 29">
          <a:extLst>
            <a:ext uri="{FF2B5EF4-FFF2-40B4-BE49-F238E27FC236}">
              <a16:creationId xmlns:a16="http://schemas.microsoft.com/office/drawing/2014/main" id="{56C2F19B-FB05-4E31-B39A-A5AB1413C126}"/>
            </a:ext>
          </a:extLst>
        </xdr:cNvPr>
        <xdr:cNvSpPr txBox="1"/>
      </xdr:nvSpPr>
      <xdr:spPr>
        <a:xfrm>
          <a:off x="12246428" y="1102179"/>
          <a:ext cx="1687286" cy="640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2C932E42-4362-4A0B-9F62-69F7232DB5EB}" type="TxLink">
            <a:rPr lang="en-US" sz="3500" b="1" i="0" u="none" strike="noStrike">
              <a:solidFill>
                <a:schemeClr val="bg1"/>
              </a:solidFill>
              <a:latin typeface="Calibri"/>
              <a:cs typeface="Calibri"/>
            </a:rPr>
            <a:pPr/>
            <a:t>44224</a:t>
          </a:fld>
          <a:endParaRPr lang="en-US" sz="3500" b="1">
            <a:solidFill>
              <a:schemeClr val="bg1"/>
            </a:solidFill>
          </a:endParaRPr>
        </a:p>
      </xdr:txBody>
    </xdr:sp>
    <xdr:clientData/>
  </xdr:oneCellAnchor>
  <xdr:oneCellAnchor>
    <xdr:from>
      <xdr:col>21</xdr:col>
      <xdr:colOff>433696</xdr:colOff>
      <xdr:row>3</xdr:row>
      <xdr:rowOff>115665</xdr:rowOff>
    </xdr:from>
    <xdr:ext cx="2342162" cy="483337"/>
    <xdr:sp macro="" textlink="'sale_data duplicate'!N2">
      <xdr:nvSpPr>
        <xdr:cNvPr id="31" name="TextBox 30">
          <a:extLst>
            <a:ext uri="{FF2B5EF4-FFF2-40B4-BE49-F238E27FC236}">
              <a16:creationId xmlns:a16="http://schemas.microsoft.com/office/drawing/2014/main" id="{16A3C14A-25CC-44E8-9882-4C69DC7D6647}"/>
            </a:ext>
          </a:extLst>
        </xdr:cNvPr>
        <xdr:cNvSpPr txBox="1"/>
      </xdr:nvSpPr>
      <xdr:spPr>
        <a:xfrm>
          <a:off x="18739014" y="739120"/>
          <a:ext cx="2342162" cy="4833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300" b="1" i="0" u="none" strike="noStrike">
              <a:solidFill>
                <a:schemeClr val="bg1"/>
              </a:solidFill>
              <a:latin typeface="Cambria" panose="02040503050406030204" pitchFamily="18" charset="0"/>
              <a:ea typeface="Cambria" panose="02040503050406030204" pitchFamily="18" charset="0"/>
              <a:cs typeface="Calibri"/>
            </a:rPr>
            <a:t>CATEGORY WITH HIGHEST SALES PER MONTH</a:t>
          </a:r>
          <a:endParaRPr lang="en-US" sz="1300" b="1">
            <a:solidFill>
              <a:schemeClr val="bg1"/>
            </a:solidFill>
            <a:latin typeface="Cambria" panose="02040503050406030204" pitchFamily="18" charset="0"/>
            <a:ea typeface="Cambria" panose="02040503050406030204" pitchFamily="18" charset="0"/>
          </a:endParaRPr>
        </a:p>
      </xdr:txBody>
    </xdr:sp>
    <xdr:clientData/>
  </xdr:oneCellAnchor>
  <xdr:oneCellAnchor>
    <xdr:from>
      <xdr:col>23</xdr:col>
      <xdr:colOff>435428</xdr:colOff>
      <xdr:row>4</xdr:row>
      <xdr:rowOff>13607</xdr:rowOff>
    </xdr:from>
    <xdr:ext cx="938893" cy="405432"/>
    <xdr:sp macro="" textlink="'sale_data duplicate'!N2">
      <xdr:nvSpPr>
        <xdr:cNvPr id="32" name="TextBox 31">
          <a:extLst>
            <a:ext uri="{FF2B5EF4-FFF2-40B4-BE49-F238E27FC236}">
              <a16:creationId xmlns:a16="http://schemas.microsoft.com/office/drawing/2014/main" id="{71053755-02E6-40E1-9D53-40BEA672D603}"/>
            </a:ext>
          </a:extLst>
        </xdr:cNvPr>
        <xdr:cNvSpPr txBox="1"/>
      </xdr:nvSpPr>
      <xdr:spPr>
        <a:xfrm>
          <a:off x="22111607" y="830036"/>
          <a:ext cx="938893" cy="40543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2000" b="1" i="0" u="none" strike="noStrike">
              <a:solidFill>
                <a:schemeClr val="bg1"/>
              </a:solidFill>
              <a:latin typeface="Calibri"/>
              <a:cs typeface="Calibri"/>
            </a:rPr>
            <a:t>QTY</a:t>
          </a:r>
          <a:endParaRPr lang="en-US" sz="2000" b="1">
            <a:solidFill>
              <a:schemeClr val="bg1"/>
            </a:solidFill>
          </a:endParaRPr>
        </a:p>
      </xdr:txBody>
    </xdr:sp>
    <xdr:clientData/>
  </xdr:oneCellAnchor>
  <xdr:twoCellAnchor>
    <xdr:from>
      <xdr:col>16</xdr:col>
      <xdr:colOff>503464</xdr:colOff>
      <xdr:row>48</xdr:row>
      <xdr:rowOff>149676</xdr:rowOff>
    </xdr:from>
    <xdr:to>
      <xdr:col>20</xdr:col>
      <xdr:colOff>340179</xdr:colOff>
      <xdr:row>65</xdr:row>
      <xdr:rowOff>81643</xdr:rowOff>
    </xdr:to>
    <xdr:graphicFrame macro="">
      <xdr:nvGraphicFramePr>
        <xdr:cNvPr id="24" name="Chart 23">
          <a:extLst>
            <a:ext uri="{FF2B5EF4-FFF2-40B4-BE49-F238E27FC236}">
              <a16:creationId xmlns:a16="http://schemas.microsoft.com/office/drawing/2014/main" id="{FCD8EF99-8295-4B95-B82D-122A6560CD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414337</xdr:colOff>
      <xdr:row>1</xdr:row>
      <xdr:rowOff>85725</xdr:rowOff>
    </xdr:from>
    <xdr:to>
      <xdr:col>11</xdr:col>
      <xdr:colOff>185737</xdr:colOff>
      <xdr:row>15</xdr:row>
      <xdr:rowOff>28575</xdr:rowOff>
    </xdr:to>
    <xdr:graphicFrame macro="">
      <xdr:nvGraphicFramePr>
        <xdr:cNvPr id="4" name="Chart 3">
          <a:extLst>
            <a:ext uri="{FF2B5EF4-FFF2-40B4-BE49-F238E27FC236}">
              <a16:creationId xmlns:a16="http://schemas.microsoft.com/office/drawing/2014/main" id="{0C7222BF-A4E9-49B8-95AC-2D7736D2C6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352425</xdr:colOff>
      <xdr:row>16</xdr:row>
      <xdr:rowOff>9525</xdr:rowOff>
    </xdr:from>
    <xdr:to>
      <xdr:col>7</xdr:col>
      <xdr:colOff>123825</xdr:colOff>
      <xdr:row>25</xdr:row>
      <xdr:rowOff>28575</xdr:rowOff>
    </xdr:to>
    <mc:AlternateContent xmlns:mc="http://schemas.openxmlformats.org/markup-compatibility/2006" xmlns:a14="http://schemas.microsoft.com/office/drawing/2010/main">
      <mc:Choice Requires="a14">
        <xdr:graphicFrame macro="">
          <xdr:nvGraphicFramePr>
            <xdr:cNvPr id="5" name="Months">
              <a:extLst>
                <a:ext uri="{FF2B5EF4-FFF2-40B4-BE49-F238E27FC236}">
                  <a16:creationId xmlns:a16="http://schemas.microsoft.com/office/drawing/2014/main" id="{A755E91F-6178-4418-83AF-15AEC5CC27E3}"/>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3857625" y="3209925"/>
              <a:ext cx="1828800" cy="1819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433387</xdr:colOff>
      <xdr:row>28</xdr:row>
      <xdr:rowOff>28575</xdr:rowOff>
    </xdr:from>
    <xdr:to>
      <xdr:col>12</xdr:col>
      <xdr:colOff>204787</xdr:colOff>
      <xdr:row>41</xdr:row>
      <xdr:rowOff>171450</xdr:rowOff>
    </xdr:to>
    <xdr:graphicFrame macro="">
      <xdr:nvGraphicFramePr>
        <xdr:cNvPr id="3" name="Chart 2">
          <a:extLst>
            <a:ext uri="{FF2B5EF4-FFF2-40B4-BE49-F238E27FC236}">
              <a16:creationId xmlns:a16="http://schemas.microsoft.com/office/drawing/2014/main" id="{175FACBD-A046-4BD3-B379-1889FDD9F0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109537</xdr:colOff>
      <xdr:row>44</xdr:row>
      <xdr:rowOff>66675</xdr:rowOff>
    </xdr:from>
    <xdr:to>
      <xdr:col>9</xdr:col>
      <xdr:colOff>42862</xdr:colOff>
      <xdr:row>58</xdr:row>
      <xdr:rowOff>9525</xdr:rowOff>
    </xdr:to>
    <xdr:graphicFrame macro="">
      <xdr:nvGraphicFramePr>
        <xdr:cNvPr id="2" name="Chart 1">
          <a:extLst>
            <a:ext uri="{FF2B5EF4-FFF2-40B4-BE49-F238E27FC236}">
              <a16:creationId xmlns:a16="http://schemas.microsoft.com/office/drawing/2014/main" id="{7851FA81-CD47-4F8F-A6FF-D3414500E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37.625626041663" createdVersion="6" refreshedVersion="6" minRefreshableVersion="3" recordCount="377" xr:uid="{A5A222BE-5B68-4232-BEE4-AB01D9147029}">
  <cacheSource type="worksheet">
    <worksheetSource name="Sales_data"/>
  </cacheSource>
  <cacheFields count="11">
    <cacheField name="Date" numFmtId="14">
      <sharedItems containsSemiMixedTypes="0" containsNonDate="0" containsDate="1" containsString="0" minDate="2023-03-02T00:00:00" maxDate="2023-07-31T00:00:00" count="135">
        <d v="2023-03-02T00:00:00"/>
        <d v="2023-03-03T00:00:00"/>
        <d v="2023-03-08T00:00:00"/>
        <d v="2023-03-09T00:00:00"/>
        <d v="2023-03-11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3T00:00:00"/>
        <d v="2023-04-04T00:00:00"/>
        <d v="2023-04-06T00:00:00"/>
        <d v="2023-04-07T00:00:00"/>
        <d v="2023-04-08T00:00:00"/>
        <d v="2023-04-09T00:00:00"/>
        <d v="2023-04-10T00:00:00"/>
        <d v="2023-04-11T00:00:00"/>
        <d v="2023-04-12T00:00:00"/>
        <d v="2023-04-14T00:00:00"/>
        <d v="2023-04-15T00:00:00"/>
        <d v="2023-04-16T00:00:00"/>
        <d v="2023-04-17T00:00:00"/>
        <d v="2023-04-18T00:00:00"/>
        <d v="2023-04-19T00:00:00"/>
        <d v="2023-04-20T00:00:00"/>
        <d v="2023-04-21T00:00:00"/>
        <d v="2023-04-22T00:00:00"/>
        <d v="2023-04-23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2T00:00:00"/>
        <d v="2023-05-13T00:00:00"/>
        <d v="2023-05-14T00:00:00"/>
        <d v="2023-05-15T00:00:00"/>
        <d v="2023-05-16T00:00:00"/>
        <d v="2023-05-17T00:00:00"/>
        <d v="2023-05-18T00:00:00"/>
        <d v="2023-05-19T00:00:00"/>
        <d v="2023-05-20T00:00:00"/>
        <d v="2023-05-21T00:00:00"/>
        <d v="2023-05-22T00:00:00"/>
        <d v="2023-05-23T00:00:00"/>
        <d v="2023-05-24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6T00:00:00"/>
        <d v="2023-07-27T00:00:00"/>
        <d v="2023-07-29T00:00:00"/>
        <d v="2023-07-30T00:00:00"/>
      </sharedItems>
      <fieldGroup par="10" base="0">
        <rangePr groupBy="days" startDate="2023-03-02T00:00:00" endDate="2023-07-31T00:00:00"/>
        <groupItems count="368">
          <s v="&lt;3/2/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7/31/2023"/>
        </groupItems>
      </fieldGroup>
    </cacheField>
    <cacheField name="Category" numFmtId="0">
      <sharedItems count="13">
        <s v="Beverages "/>
        <s v="Canned Goods"/>
        <s v="Instant Noodles"/>
        <s v="Personal Care "/>
        <s v="Cleaning Supplies"/>
        <s v="Biscuits and Cookies"/>
        <s v="Snacks and Chips"/>
        <s v="Breads and Pastries"/>
        <s v="Rice and Grains"/>
        <s v="Frozen Goods"/>
        <s v="Cooking Oil"/>
        <s v="Candies and Sweets"/>
        <s v="Condiments and Sauces"/>
      </sharedItems>
    </cacheField>
    <cacheField name="Brand of Product" numFmtId="0">
      <sharedItems count="60">
        <s v="Great Taste"/>
        <s v="San Marino"/>
        <s v="Maggi"/>
        <s v="Dove"/>
        <s v="Zonrox"/>
        <s v="Hansel"/>
        <s v="Tide"/>
        <s v="Chippy"/>
        <s v="Rejoice"/>
        <s v="Young's Town Sardines"/>
        <s v="Kopiko"/>
        <s v="Argentina Corned Beef"/>
        <s v="Pinoy Taste"/>
        <s v="Sinandomeng"/>
        <s v="7-Up"/>
        <s v="C2"/>
        <s v="Coca-Cola"/>
        <s v="Century Tuna"/>
        <s v="Minute Maid"/>
        <s v="Magnolia"/>
        <s v="Golden Fiesta"/>
        <s v="Magnolia Nutri-Oil"/>
        <s v="Flat Tops"/>
        <s v="Hany"/>
        <s v="San Mig Coffee"/>
        <s v="UFC"/>
        <s v="Mountain Dew"/>
        <s v="Joy"/>
        <s v="Piattos"/>
        <s v="Oreo"/>
        <s v="Ariel"/>
        <s v="Fita"/>
        <s v="Ding Dong"/>
        <s v="Mik-Mik"/>
        <s v="Baguio Oil"/>
        <s v="Chiz Curls"/>
        <s v="Nescafé"/>
        <s v="Royal"/>
        <s v="555 Sardines"/>
        <s v="Zesto"/>
        <s v="Bingo"/>
        <s v="Gardenia"/>
        <s v="Jasmine Rice"/>
        <s v="Clear"/>
        <s v="San Miguel Purefoods"/>
        <s v="Lucky Me! Supreme"/>
        <s v="Downy"/>
        <s v="Datu Puti"/>
        <s v="Mang Tomas"/>
        <s v="Pancit Canton"/>
        <s v="Milagrosa"/>
        <s v="Del Monte Tomato Sauce"/>
        <s v="Payless"/>
        <s v="SkyFlakes"/>
        <s v="Julie's Bakeshop"/>
        <s v="Monde"/>
        <s v="Sola"/>
        <s v="Mega Sardines"/>
        <s v="Head &amp; Shoulders"/>
        <s v="Silver Swan"/>
      </sharedItems>
    </cacheField>
    <cacheField name="Base Price (PHP)" numFmtId="0">
      <sharedItems containsSemiMixedTypes="0" containsString="0" containsNumber="1" minValue="1.25" maxValue="52"/>
    </cacheField>
    <cacheField name="Selling Price (PHP)" numFmtId="0">
      <sharedItems containsSemiMixedTypes="0" containsString="0" containsNumber="1" containsInteger="1" minValue="3" maxValue="65"/>
    </cacheField>
    <cacheField name="Revenue" numFmtId="0">
      <sharedItems containsSemiMixedTypes="0" containsString="0" containsNumber="1" minValue="1.5499999999999998" maxValue="19.759999999999998"/>
    </cacheField>
    <cacheField name="Quantity" numFmtId="0">
      <sharedItems containsSemiMixedTypes="0" containsString="0" containsNumber="1" containsInteger="1" minValue="1" maxValue="10" count="10">
        <n v="5"/>
        <n v="4"/>
        <n v="2"/>
        <n v="3"/>
        <n v="1"/>
        <n v="8"/>
        <n v="7"/>
        <n v="6"/>
        <n v="9"/>
        <n v="10"/>
      </sharedItems>
    </cacheField>
    <cacheField name="Total Sales" numFmtId="0">
      <sharedItems containsSemiMixedTypes="0" containsString="0" containsNumber="1" containsInteger="1" minValue="5" maxValue="650"/>
    </cacheField>
    <cacheField name="Total Revenue" numFmtId="0">
      <sharedItems containsSemiMixedTypes="0" containsString="0" containsNumber="1" minValue="1.85" maxValue="197.59999999999997"/>
    </cacheField>
    <cacheField name="Order Number" numFmtId="0">
      <sharedItems/>
    </cacheField>
    <cacheField name="Months" numFmtId="0" databaseField="0">
      <fieldGroup base="0">
        <rangePr groupBy="months" startDate="2023-03-02T00:00:00" endDate="2023-07-31T00:00:00"/>
        <groupItems count="14">
          <s v="&lt;3/2/2023"/>
          <s v="Jan"/>
          <s v="Feb"/>
          <s v="Mar"/>
          <s v="Apr"/>
          <s v="May"/>
          <s v="Jun"/>
          <s v="Jul"/>
          <s v="Aug"/>
          <s v="Sep"/>
          <s v="Oct"/>
          <s v="Nov"/>
          <s v="Dec"/>
          <s v="&gt;7/31/2023"/>
        </groupItems>
      </fieldGroup>
    </cacheField>
  </cacheFields>
  <extLst>
    <ext xmlns:x14="http://schemas.microsoft.com/office/spreadsheetml/2009/9/main" uri="{725AE2AE-9491-48be-B2B4-4EB974FC3084}">
      <x14:pivotCacheDefinition pivotCacheId="14290234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7">
  <r>
    <x v="0"/>
    <x v="0"/>
    <x v="0"/>
    <n v="8.17"/>
    <n v="13"/>
    <n v="4.83"/>
    <x v="0"/>
    <n v="65"/>
    <n v="24.15"/>
    <s v="ORD124020"/>
  </r>
  <r>
    <x v="1"/>
    <x v="1"/>
    <x v="1"/>
    <n v="23.45"/>
    <n v="29"/>
    <n v="5.5500000000000007"/>
    <x v="1"/>
    <n v="116"/>
    <n v="22.200000000000003"/>
    <s v="ORD124166"/>
  </r>
  <r>
    <x v="1"/>
    <x v="1"/>
    <x v="1"/>
    <n v="23.45"/>
    <n v="29"/>
    <n v="5.5500000000000007"/>
    <x v="2"/>
    <n v="58"/>
    <n v="11.100000000000001"/>
    <s v="ORD124045"/>
  </r>
  <r>
    <x v="2"/>
    <x v="2"/>
    <x v="2"/>
    <n v="10.25"/>
    <n v="14"/>
    <n v="3.75"/>
    <x v="3"/>
    <n v="42"/>
    <n v="11.25"/>
    <s v="ORD124178"/>
  </r>
  <r>
    <x v="2"/>
    <x v="2"/>
    <x v="2"/>
    <n v="10.25"/>
    <n v="14"/>
    <n v="3.75"/>
    <x v="4"/>
    <n v="14"/>
    <n v="3.75"/>
    <s v="ORD124057"/>
  </r>
  <r>
    <x v="3"/>
    <x v="3"/>
    <x v="3"/>
    <n v="18.5"/>
    <n v="23"/>
    <n v="4.5"/>
    <x v="0"/>
    <n v="115"/>
    <n v="22.5"/>
    <s v="ORD124147"/>
  </r>
  <r>
    <x v="4"/>
    <x v="4"/>
    <x v="4"/>
    <n v="15.67"/>
    <n v="20"/>
    <n v="4.33"/>
    <x v="5"/>
    <n v="160"/>
    <n v="34.64"/>
    <s v="ORD124271"/>
  </r>
  <r>
    <x v="4"/>
    <x v="5"/>
    <x v="5"/>
    <n v="8.17"/>
    <n v="13"/>
    <n v="4.83"/>
    <x v="2"/>
    <n v="26"/>
    <n v="9.66"/>
    <s v="ORD124182"/>
  </r>
  <r>
    <x v="4"/>
    <x v="5"/>
    <x v="5"/>
    <n v="8.17"/>
    <n v="13"/>
    <n v="4.83"/>
    <x v="0"/>
    <n v="65"/>
    <n v="24.15"/>
    <s v="ORD124061"/>
  </r>
  <r>
    <x v="5"/>
    <x v="4"/>
    <x v="6"/>
    <n v="21.17"/>
    <n v="25"/>
    <n v="3.8299999999999983"/>
    <x v="0"/>
    <n v="125"/>
    <n v="19.149999999999991"/>
    <s v="ORD124035"/>
  </r>
  <r>
    <x v="6"/>
    <x v="6"/>
    <x v="7"/>
    <n v="20.329999999999998"/>
    <n v="25"/>
    <n v="4.6700000000000017"/>
    <x v="4"/>
    <n v="25"/>
    <n v="4.6700000000000017"/>
    <s v="ORD124006"/>
  </r>
  <r>
    <x v="6"/>
    <x v="3"/>
    <x v="8"/>
    <n v="16.170000000000002"/>
    <n v="20"/>
    <n v="3.8299999999999983"/>
    <x v="6"/>
    <n v="140"/>
    <n v="26.809999999999988"/>
    <s v="ORD124267"/>
  </r>
  <r>
    <x v="7"/>
    <x v="6"/>
    <x v="7"/>
    <n v="20.329999999999998"/>
    <n v="25"/>
    <n v="4.6700000000000017"/>
    <x v="0"/>
    <n v="125"/>
    <n v="23.350000000000009"/>
    <s v="ORD124126"/>
  </r>
  <r>
    <x v="8"/>
    <x v="3"/>
    <x v="3"/>
    <n v="18.5"/>
    <n v="23"/>
    <n v="4.5"/>
    <x v="0"/>
    <n v="115"/>
    <n v="22.5"/>
    <s v="ORD124263"/>
  </r>
  <r>
    <x v="9"/>
    <x v="1"/>
    <x v="9"/>
    <n v="13.83"/>
    <n v="18"/>
    <n v="4.17"/>
    <x v="5"/>
    <n v="144"/>
    <n v="33.36"/>
    <s v="ORD124040"/>
  </r>
  <r>
    <x v="9"/>
    <x v="0"/>
    <x v="10"/>
    <n v="7.83"/>
    <n v="12"/>
    <n v="4.17"/>
    <x v="7"/>
    <n v="72"/>
    <n v="25.02"/>
    <s v="ORD124011"/>
  </r>
  <r>
    <x v="10"/>
    <x v="3"/>
    <x v="8"/>
    <n v="16.170000000000002"/>
    <n v="20"/>
    <n v="3.8299999999999983"/>
    <x v="1"/>
    <n v="80"/>
    <n v="15.319999999999993"/>
    <s v="ORD124142"/>
  </r>
  <r>
    <x v="10"/>
    <x v="3"/>
    <x v="3"/>
    <n v="18.5"/>
    <n v="23"/>
    <n v="4.5"/>
    <x v="8"/>
    <n v="207"/>
    <n v="40.5"/>
    <s v="ORD124027"/>
  </r>
  <r>
    <x v="10"/>
    <x v="1"/>
    <x v="11"/>
    <n v="43.5"/>
    <n v="55"/>
    <n v="11.5"/>
    <x v="9"/>
    <n v="550"/>
    <n v="115"/>
    <s v="ORD124160"/>
  </r>
  <r>
    <x v="10"/>
    <x v="7"/>
    <x v="12"/>
    <n v="12"/>
    <n v="17"/>
    <n v="5"/>
    <x v="5"/>
    <n v="136"/>
    <n v="40"/>
    <s v="ORD124213"/>
  </r>
  <r>
    <x v="11"/>
    <x v="8"/>
    <x v="13"/>
    <n v="38.72"/>
    <n v="43"/>
    <n v="4.2800000000000011"/>
    <x v="8"/>
    <n v="387"/>
    <n v="38.52000000000001"/>
    <s v="ORD124191"/>
  </r>
  <r>
    <x v="11"/>
    <x v="8"/>
    <x v="13"/>
    <n v="38.72"/>
    <n v="43"/>
    <n v="4.2800000000000011"/>
    <x v="3"/>
    <n v="129"/>
    <n v="12.840000000000003"/>
    <s v="ORD124070"/>
  </r>
  <r>
    <x v="11"/>
    <x v="0"/>
    <x v="14"/>
    <n v="14.5"/>
    <n v="19"/>
    <n v="4.5"/>
    <x v="9"/>
    <n v="190"/>
    <n v="45"/>
    <s v="ORD124351"/>
  </r>
  <r>
    <x v="12"/>
    <x v="6"/>
    <x v="7"/>
    <n v="20.329999999999998"/>
    <n v="25"/>
    <n v="4.6700000000000017"/>
    <x v="3"/>
    <n v="75"/>
    <n v="14.010000000000005"/>
    <s v="ORD124249"/>
  </r>
  <r>
    <x v="12"/>
    <x v="0"/>
    <x v="15"/>
    <n v="12"/>
    <n v="18"/>
    <n v="6"/>
    <x v="9"/>
    <n v="180"/>
    <n v="60"/>
    <s v="ORD124378"/>
  </r>
  <r>
    <x v="12"/>
    <x v="0"/>
    <x v="15"/>
    <n v="12"/>
    <n v="18"/>
    <n v="6"/>
    <x v="4"/>
    <n v="18"/>
    <n v="6"/>
    <s v="ORD124392"/>
  </r>
  <r>
    <x v="12"/>
    <x v="0"/>
    <x v="15"/>
    <n v="12"/>
    <n v="18"/>
    <n v="6"/>
    <x v="2"/>
    <n v="36"/>
    <n v="12"/>
    <s v="ORD124406"/>
  </r>
  <r>
    <x v="12"/>
    <x v="0"/>
    <x v="15"/>
    <n v="12"/>
    <n v="18"/>
    <n v="6"/>
    <x v="3"/>
    <n v="54"/>
    <n v="18"/>
    <s v="ORD124420"/>
  </r>
  <r>
    <x v="12"/>
    <x v="0"/>
    <x v="16"/>
    <n v="13.5"/>
    <n v="18"/>
    <n v="4.5"/>
    <x v="6"/>
    <n v="126"/>
    <n v="31.5"/>
    <s v="ORD124369"/>
  </r>
  <r>
    <x v="12"/>
    <x v="0"/>
    <x v="16"/>
    <n v="13.5"/>
    <n v="18"/>
    <n v="4.5"/>
    <x v="6"/>
    <n v="126"/>
    <n v="31.5"/>
    <s v="ORD124383"/>
  </r>
  <r>
    <x v="13"/>
    <x v="2"/>
    <x v="2"/>
    <n v="10.25"/>
    <n v="14"/>
    <n v="3.75"/>
    <x v="4"/>
    <n v="14"/>
    <n v="3.75"/>
    <s v="ORD124173"/>
  </r>
  <r>
    <x v="13"/>
    <x v="2"/>
    <x v="2"/>
    <n v="10.25"/>
    <n v="14"/>
    <n v="3.75"/>
    <x v="9"/>
    <n v="140"/>
    <n v="37.5"/>
    <s v="ORD124052"/>
  </r>
  <r>
    <x v="13"/>
    <x v="4"/>
    <x v="6"/>
    <n v="21.17"/>
    <n v="25"/>
    <n v="3.8299999999999983"/>
    <x v="9"/>
    <n v="250"/>
    <n v="38.299999999999983"/>
    <s v="ORD124156"/>
  </r>
  <r>
    <x v="13"/>
    <x v="1"/>
    <x v="17"/>
    <n v="32.75"/>
    <n v="40"/>
    <n v="7.25"/>
    <x v="3"/>
    <n v="120"/>
    <n v="21.75"/>
    <s v="ORD124285"/>
  </r>
  <r>
    <x v="13"/>
    <x v="0"/>
    <x v="18"/>
    <n v="10.5"/>
    <n v="15"/>
    <n v="4.5"/>
    <x v="2"/>
    <n v="30"/>
    <n v="9"/>
    <s v="ORD124374"/>
  </r>
  <r>
    <x v="14"/>
    <x v="8"/>
    <x v="13"/>
    <n v="38.72"/>
    <n v="43"/>
    <n v="4.2800000000000011"/>
    <x v="0"/>
    <n v="215"/>
    <n v="21.400000000000006"/>
    <s v="ORD124308"/>
  </r>
  <r>
    <x v="14"/>
    <x v="9"/>
    <x v="19"/>
    <n v="22"/>
    <n v="27"/>
    <n v="5"/>
    <x v="5"/>
    <n v="216"/>
    <n v="40"/>
    <s v="ORD124324"/>
  </r>
  <r>
    <x v="14"/>
    <x v="10"/>
    <x v="20"/>
    <n v="45.24"/>
    <n v="65"/>
    <n v="19.759999999999998"/>
    <x v="9"/>
    <n v="650"/>
    <n v="197.59999999999997"/>
    <s v="ORD124225"/>
  </r>
  <r>
    <x v="14"/>
    <x v="0"/>
    <x v="15"/>
    <n v="12"/>
    <n v="18"/>
    <n v="6"/>
    <x v="9"/>
    <n v="180"/>
    <n v="60"/>
    <s v="ORD124136"/>
  </r>
  <r>
    <x v="15"/>
    <x v="10"/>
    <x v="21"/>
    <n v="13"/>
    <n v="18"/>
    <n v="5"/>
    <x v="5"/>
    <n v="144"/>
    <n v="40"/>
    <s v="ORD124229"/>
  </r>
  <r>
    <x v="15"/>
    <x v="10"/>
    <x v="20"/>
    <n v="45.24"/>
    <n v="65"/>
    <n v="19.759999999999998"/>
    <x v="7"/>
    <n v="390"/>
    <n v="118.55999999999999"/>
    <s v="ORD124347"/>
  </r>
  <r>
    <x v="15"/>
    <x v="11"/>
    <x v="22"/>
    <n v="1.25"/>
    <n v="3"/>
    <n v="1.75"/>
    <x v="2"/>
    <n v="6"/>
    <n v="3.5"/>
    <s v="ORD124199"/>
  </r>
  <r>
    <x v="16"/>
    <x v="10"/>
    <x v="20"/>
    <n v="45.24"/>
    <n v="65"/>
    <n v="19.759999999999998"/>
    <x v="7"/>
    <n v="390"/>
    <n v="118.55999999999999"/>
    <s v="ORD124341"/>
  </r>
  <r>
    <x v="16"/>
    <x v="11"/>
    <x v="23"/>
    <n v="2.4500000000000002"/>
    <n v="4"/>
    <n v="1.5499999999999998"/>
    <x v="5"/>
    <n v="32"/>
    <n v="12.399999999999999"/>
    <s v="ORD124320"/>
  </r>
  <r>
    <x v="17"/>
    <x v="6"/>
    <x v="7"/>
    <n v="20.329999999999998"/>
    <n v="25"/>
    <n v="4.6700000000000017"/>
    <x v="2"/>
    <n v="50"/>
    <n v="9.3400000000000034"/>
    <s v="ORD124003"/>
  </r>
  <r>
    <x v="17"/>
    <x v="2"/>
    <x v="2"/>
    <n v="10.25"/>
    <n v="14"/>
    <n v="3.75"/>
    <x v="2"/>
    <n v="28"/>
    <n v="7.5"/>
    <s v="ORD124292"/>
  </r>
  <r>
    <x v="17"/>
    <x v="0"/>
    <x v="24"/>
    <n v="12"/>
    <n v="17"/>
    <n v="5"/>
    <x v="6"/>
    <n v="119"/>
    <n v="35"/>
    <s v="ORD124258"/>
  </r>
  <r>
    <x v="18"/>
    <x v="12"/>
    <x v="25"/>
    <n v="15.5"/>
    <n v="20"/>
    <n v="4.5"/>
    <x v="6"/>
    <n v="140"/>
    <n v="31.5"/>
    <s v="ORD124218"/>
  </r>
  <r>
    <x v="18"/>
    <x v="0"/>
    <x v="26"/>
    <n v="9.83"/>
    <n v="14"/>
    <n v="4.17"/>
    <x v="6"/>
    <n v="98"/>
    <n v="29.189999999999998"/>
    <s v="ORD124238"/>
  </r>
  <r>
    <x v="18"/>
    <x v="0"/>
    <x v="26"/>
    <n v="9.83"/>
    <n v="14"/>
    <n v="4.17"/>
    <x v="1"/>
    <n v="56"/>
    <n v="16.68"/>
    <s v="ORD124120"/>
  </r>
  <r>
    <x v="18"/>
    <x v="0"/>
    <x v="16"/>
    <n v="13.5"/>
    <n v="18"/>
    <n v="4.5"/>
    <x v="8"/>
    <n v="162"/>
    <n v="40.5"/>
    <s v="ORD124361"/>
  </r>
  <r>
    <x v="18"/>
    <x v="0"/>
    <x v="16"/>
    <n v="13.5"/>
    <n v="18"/>
    <n v="4.5"/>
    <x v="7"/>
    <n v="108"/>
    <n v="27"/>
    <s v="ORD124397"/>
  </r>
  <r>
    <x v="18"/>
    <x v="0"/>
    <x v="16"/>
    <n v="13.5"/>
    <n v="18"/>
    <n v="4.5"/>
    <x v="2"/>
    <n v="36"/>
    <n v="9"/>
    <s v="ORD124411"/>
  </r>
  <r>
    <x v="19"/>
    <x v="4"/>
    <x v="27"/>
    <n v="16.170000000000002"/>
    <n v="20"/>
    <n v="3.8299999999999983"/>
    <x v="1"/>
    <n v="80"/>
    <n v="15.319999999999993"/>
    <s v="ORD124031"/>
  </r>
  <r>
    <x v="19"/>
    <x v="0"/>
    <x v="18"/>
    <n v="10.5"/>
    <n v="15"/>
    <n v="4.5"/>
    <x v="4"/>
    <n v="15"/>
    <n v="4.5"/>
    <s v="ORD124388"/>
  </r>
  <r>
    <x v="19"/>
    <x v="0"/>
    <x v="18"/>
    <n v="10.5"/>
    <n v="15"/>
    <n v="4.5"/>
    <x v="3"/>
    <n v="45"/>
    <n v="13.5"/>
    <s v="ORD124402"/>
  </r>
  <r>
    <x v="19"/>
    <x v="0"/>
    <x v="18"/>
    <n v="10.5"/>
    <n v="15"/>
    <n v="4.5"/>
    <x v="1"/>
    <n v="60"/>
    <n v="18"/>
    <s v="ORD124416"/>
  </r>
  <r>
    <x v="20"/>
    <x v="6"/>
    <x v="28"/>
    <n v="19.829999999999998"/>
    <n v="24"/>
    <n v="4.1700000000000017"/>
    <x v="5"/>
    <n v="192"/>
    <n v="33.360000000000014"/>
    <s v="ORD124244"/>
  </r>
  <r>
    <x v="20"/>
    <x v="9"/>
    <x v="19"/>
    <n v="22"/>
    <n v="27"/>
    <n v="5"/>
    <x v="5"/>
    <n v="216"/>
    <n v="40"/>
    <s v="ORD124207"/>
  </r>
  <r>
    <x v="20"/>
    <x v="1"/>
    <x v="11"/>
    <n v="43.5"/>
    <n v="55"/>
    <n v="11.5"/>
    <x v="9"/>
    <n v="550"/>
    <n v="115"/>
    <s v="ORD124280"/>
  </r>
  <r>
    <x v="20"/>
    <x v="5"/>
    <x v="29"/>
    <n v="10.5"/>
    <n v="15"/>
    <n v="4.5"/>
    <x v="3"/>
    <n v="45"/>
    <n v="13.5"/>
    <s v="ORD124300"/>
  </r>
  <r>
    <x v="20"/>
    <x v="0"/>
    <x v="16"/>
    <n v="13.5"/>
    <n v="18"/>
    <n v="4.5"/>
    <x v="3"/>
    <n v="54"/>
    <n v="13.5"/>
    <s v="ORD124355"/>
  </r>
  <r>
    <x v="21"/>
    <x v="4"/>
    <x v="30"/>
    <n v="12.5"/>
    <n v="16"/>
    <n v="3.5"/>
    <x v="6"/>
    <n v="112"/>
    <n v="24.5"/>
    <s v="ORD124151"/>
  </r>
  <r>
    <x v="21"/>
    <x v="4"/>
    <x v="6"/>
    <n v="21.17"/>
    <n v="25"/>
    <n v="3.8299999999999983"/>
    <x v="9"/>
    <n v="250"/>
    <n v="38.299999999999983"/>
    <s v="ORD124276"/>
  </r>
  <r>
    <x v="21"/>
    <x v="0"/>
    <x v="16"/>
    <n v="13.5"/>
    <n v="18"/>
    <n v="4.5"/>
    <x v="5"/>
    <n v="144"/>
    <n v="36"/>
    <s v="ORD124234"/>
  </r>
  <r>
    <x v="22"/>
    <x v="5"/>
    <x v="31"/>
    <n v="7.5"/>
    <n v="12"/>
    <n v="4.5"/>
    <x v="8"/>
    <n v="108"/>
    <n v="40.5"/>
    <s v="ORD124295"/>
  </r>
  <r>
    <x v="22"/>
    <x v="0"/>
    <x v="24"/>
    <n v="12"/>
    <n v="17"/>
    <n v="5"/>
    <x v="8"/>
    <n v="153"/>
    <n v="45"/>
    <s v="ORD124015"/>
  </r>
  <r>
    <x v="23"/>
    <x v="6"/>
    <x v="32"/>
    <n v="14"/>
    <n v="19"/>
    <n v="5"/>
    <x v="9"/>
    <n v="190"/>
    <n v="50"/>
    <s v="ORD124131"/>
  </r>
  <r>
    <x v="23"/>
    <x v="11"/>
    <x v="33"/>
    <n v="3.15"/>
    <n v="5"/>
    <n v="1.85"/>
    <x v="1"/>
    <n v="20"/>
    <n v="7.4"/>
    <s v="ORD124315"/>
  </r>
  <r>
    <x v="24"/>
    <x v="10"/>
    <x v="34"/>
    <n v="23.5"/>
    <n v="28"/>
    <n v="4.5"/>
    <x v="8"/>
    <n v="252"/>
    <n v="40.5"/>
    <s v="ORD124223"/>
  </r>
  <r>
    <x v="25"/>
    <x v="6"/>
    <x v="35"/>
    <n v="12.33"/>
    <n v="17"/>
    <n v="4.67"/>
    <x v="6"/>
    <n v="119"/>
    <n v="32.69"/>
    <s v="ORD124122"/>
  </r>
  <r>
    <x v="26"/>
    <x v="6"/>
    <x v="32"/>
    <n v="14"/>
    <n v="19"/>
    <n v="5"/>
    <x v="4"/>
    <n v="19"/>
    <n v="5"/>
    <s v="ORD124240"/>
  </r>
  <r>
    <x v="26"/>
    <x v="10"/>
    <x v="21"/>
    <n v="13"/>
    <n v="18"/>
    <n v="5"/>
    <x v="7"/>
    <n v="108"/>
    <n v="30"/>
    <s v="ORD124228"/>
  </r>
  <r>
    <x v="26"/>
    <x v="4"/>
    <x v="30"/>
    <n v="12.5"/>
    <n v="16"/>
    <n v="3.5"/>
    <x v="7"/>
    <n v="96"/>
    <n v="21"/>
    <s v="ORD124038"/>
  </r>
  <r>
    <x v="26"/>
    <x v="1"/>
    <x v="11"/>
    <n v="43.5"/>
    <n v="55"/>
    <n v="11.5"/>
    <x v="9"/>
    <n v="550"/>
    <n v="115"/>
    <s v="ORD124284"/>
  </r>
  <r>
    <x v="27"/>
    <x v="0"/>
    <x v="36"/>
    <n v="8.75"/>
    <n v="14"/>
    <n v="5.25"/>
    <x v="5"/>
    <n v="112"/>
    <n v="42"/>
    <s v="ORD124356"/>
  </r>
  <r>
    <x v="27"/>
    <x v="0"/>
    <x v="37"/>
    <n v="10.25"/>
    <n v="15"/>
    <n v="4.75"/>
    <x v="7"/>
    <n v="90"/>
    <n v="28.5"/>
    <s v="ORD124134"/>
  </r>
  <r>
    <x v="28"/>
    <x v="6"/>
    <x v="32"/>
    <n v="14"/>
    <n v="19"/>
    <n v="5"/>
    <x v="9"/>
    <n v="190"/>
    <n v="50"/>
    <s v="ORD124246"/>
  </r>
  <r>
    <x v="28"/>
    <x v="12"/>
    <x v="25"/>
    <n v="15.5"/>
    <n v="20"/>
    <n v="4.5"/>
    <x v="5"/>
    <n v="160"/>
    <n v="36"/>
    <s v="ORD124340"/>
  </r>
  <r>
    <x v="28"/>
    <x v="1"/>
    <x v="38"/>
    <n v="12.5"/>
    <n v="17"/>
    <n v="4.5"/>
    <x v="0"/>
    <n v="85"/>
    <n v="22.5"/>
    <s v="ORD124042"/>
  </r>
  <r>
    <x v="28"/>
    <x v="5"/>
    <x v="31"/>
    <n v="7.5"/>
    <n v="12"/>
    <n v="4.5"/>
    <x v="6"/>
    <n v="84"/>
    <n v="31.5"/>
    <s v="ORD124187"/>
  </r>
  <r>
    <x v="28"/>
    <x v="5"/>
    <x v="31"/>
    <n v="7.5"/>
    <n v="12"/>
    <n v="4.5"/>
    <x v="5"/>
    <n v="96"/>
    <n v="36"/>
    <s v="ORD124066"/>
  </r>
  <r>
    <x v="28"/>
    <x v="0"/>
    <x v="39"/>
    <n v="12.29"/>
    <n v="17"/>
    <n v="4.7100000000000009"/>
    <x v="1"/>
    <n v="68"/>
    <n v="18.840000000000003"/>
    <s v="ORD124013"/>
  </r>
  <r>
    <x v="29"/>
    <x v="6"/>
    <x v="32"/>
    <n v="14"/>
    <n v="19"/>
    <n v="5"/>
    <x v="1"/>
    <n v="76"/>
    <n v="20"/>
    <s v="ORD124008"/>
  </r>
  <r>
    <x v="29"/>
    <x v="4"/>
    <x v="6"/>
    <n v="21.17"/>
    <n v="25"/>
    <n v="3.8299999999999983"/>
    <x v="0"/>
    <n v="125"/>
    <n v="19.149999999999991"/>
    <s v="ORD124034"/>
  </r>
  <r>
    <x v="29"/>
    <x v="5"/>
    <x v="40"/>
    <n v="9.5"/>
    <n v="14"/>
    <n v="4.5"/>
    <x v="5"/>
    <n v="112"/>
    <n v="36"/>
    <s v="ORD124302"/>
  </r>
  <r>
    <x v="29"/>
    <x v="0"/>
    <x v="0"/>
    <n v="8.17"/>
    <n v="13"/>
    <n v="4.83"/>
    <x v="6"/>
    <n v="91"/>
    <n v="33.81"/>
    <s v="ORD124140"/>
  </r>
  <r>
    <x v="30"/>
    <x v="7"/>
    <x v="41"/>
    <n v="52"/>
    <n v="60"/>
    <n v="8"/>
    <x v="2"/>
    <n v="120"/>
    <n v="16"/>
    <s v="ORD124331"/>
  </r>
  <r>
    <x v="31"/>
    <x v="8"/>
    <x v="42"/>
    <n v="39"/>
    <n v="45"/>
    <n v="6"/>
    <x v="8"/>
    <n v="405"/>
    <n v="54"/>
    <s v="ORD124190"/>
  </r>
  <r>
    <x v="31"/>
    <x v="8"/>
    <x v="42"/>
    <n v="39"/>
    <n v="45"/>
    <n v="6"/>
    <x v="4"/>
    <n v="45"/>
    <n v="6"/>
    <s v="ORD124069"/>
  </r>
  <r>
    <x v="31"/>
    <x v="3"/>
    <x v="43"/>
    <n v="12.5"/>
    <n v="18"/>
    <n v="5.5"/>
    <x v="7"/>
    <n v="108"/>
    <n v="33"/>
    <s v="ORD124029"/>
  </r>
  <r>
    <x v="31"/>
    <x v="4"/>
    <x v="6"/>
    <n v="21.17"/>
    <n v="25"/>
    <n v="3.8299999999999983"/>
    <x v="2"/>
    <n v="50"/>
    <n v="7.6599999999999966"/>
    <s v="ORD124155"/>
  </r>
  <r>
    <x v="31"/>
    <x v="0"/>
    <x v="26"/>
    <n v="9.83"/>
    <n v="14"/>
    <n v="4.17"/>
    <x v="6"/>
    <n v="98"/>
    <n v="29.189999999999998"/>
    <s v="ORD124349"/>
  </r>
  <r>
    <x v="32"/>
    <x v="6"/>
    <x v="32"/>
    <n v="14"/>
    <n v="19"/>
    <n v="5"/>
    <x v="2"/>
    <n v="38"/>
    <n v="10"/>
    <s v="ORD124128"/>
  </r>
  <r>
    <x v="32"/>
    <x v="3"/>
    <x v="8"/>
    <n v="16.170000000000002"/>
    <n v="20"/>
    <n v="3.8299999999999983"/>
    <x v="6"/>
    <n v="140"/>
    <n v="26.809999999999988"/>
    <s v="ORD124022"/>
  </r>
  <r>
    <x v="32"/>
    <x v="5"/>
    <x v="5"/>
    <n v="8.17"/>
    <n v="13"/>
    <n v="4.83"/>
    <x v="3"/>
    <n v="39"/>
    <n v="14.49"/>
    <s v="ORD124298"/>
  </r>
  <r>
    <x v="33"/>
    <x v="0"/>
    <x v="39"/>
    <n v="12.29"/>
    <n v="17"/>
    <n v="4.7100000000000009"/>
    <x v="6"/>
    <n v="119"/>
    <n v="32.970000000000006"/>
    <s v="ORD124365"/>
  </r>
  <r>
    <x v="34"/>
    <x v="9"/>
    <x v="44"/>
    <n v="48.67"/>
    <n v="58"/>
    <n v="9.3299999999999983"/>
    <x v="7"/>
    <n v="348"/>
    <n v="55.97999999999999"/>
    <s v="ORD124328"/>
  </r>
  <r>
    <x v="34"/>
    <x v="9"/>
    <x v="44"/>
    <n v="48.67"/>
    <n v="58"/>
    <n v="9.3299999999999983"/>
    <x v="6"/>
    <n v="406"/>
    <n v="65.309999999999988"/>
    <s v="ORD124209"/>
  </r>
  <r>
    <x v="35"/>
    <x v="2"/>
    <x v="45"/>
    <n v="15.65"/>
    <n v="22"/>
    <n v="6.35"/>
    <x v="6"/>
    <n v="154"/>
    <n v="44.449999999999996"/>
    <s v="ORD124174"/>
  </r>
  <r>
    <x v="35"/>
    <x v="2"/>
    <x v="45"/>
    <n v="15.65"/>
    <n v="22"/>
    <n v="6.35"/>
    <x v="2"/>
    <n v="44"/>
    <n v="12.7"/>
    <s v="ORD124053"/>
  </r>
  <r>
    <x v="36"/>
    <x v="3"/>
    <x v="3"/>
    <n v="18.5"/>
    <n v="23"/>
    <n v="4.5"/>
    <x v="1"/>
    <n v="92"/>
    <n v="18"/>
    <s v="ORD124146"/>
  </r>
  <r>
    <x v="37"/>
    <x v="0"/>
    <x v="26"/>
    <n v="9.83"/>
    <n v="14"/>
    <n v="4.17"/>
    <x v="5"/>
    <n v="112"/>
    <n v="33.36"/>
    <s v="ORD124384"/>
  </r>
  <r>
    <x v="37"/>
    <x v="0"/>
    <x v="26"/>
    <n v="9.83"/>
    <n v="14"/>
    <n v="4.17"/>
    <x v="2"/>
    <n v="28"/>
    <n v="8.34"/>
    <s v="ORD124398"/>
  </r>
  <r>
    <x v="37"/>
    <x v="0"/>
    <x v="37"/>
    <n v="10.25"/>
    <n v="15"/>
    <n v="4.75"/>
    <x v="8"/>
    <n v="135"/>
    <n v="42.75"/>
    <s v="ORD124412"/>
  </r>
  <r>
    <x v="37"/>
    <x v="0"/>
    <x v="39"/>
    <n v="12.29"/>
    <n v="17"/>
    <n v="4.7100000000000009"/>
    <x v="5"/>
    <n v="136"/>
    <n v="37.680000000000007"/>
    <s v="ORD124250"/>
  </r>
  <r>
    <x v="38"/>
    <x v="9"/>
    <x v="19"/>
    <n v="22"/>
    <n v="27"/>
    <n v="5"/>
    <x v="4"/>
    <n v="27"/>
    <n v="5"/>
    <s v="ORD124204"/>
  </r>
  <r>
    <x v="38"/>
    <x v="4"/>
    <x v="46"/>
    <n v="13.5"/>
    <n v="18"/>
    <n v="4.5"/>
    <x v="2"/>
    <n v="36"/>
    <n v="9"/>
    <s v="ORD124275"/>
  </r>
  <r>
    <x v="38"/>
    <x v="5"/>
    <x v="40"/>
    <n v="9.5"/>
    <n v="14"/>
    <n v="4.5"/>
    <x v="7"/>
    <n v="84"/>
    <n v="27"/>
    <s v="ORD124180"/>
  </r>
  <r>
    <x v="38"/>
    <x v="5"/>
    <x v="40"/>
    <n v="9.5"/>
    <n v="14"/>
    <n v="4.5"/>
    <x v="8"/>
    <n v="126"/>
    <n v="40.5"/>
    <s v="ORD124059"/>
  </r>
  <r>
    <x v="38"/>
    <x v="0"/>
    <x v="37"/>
    <n v="10.25"/>
    <n v="15"/>
    <n v="4.75"/>
    <x v="2"/>
    <n v="30"/>
    <n v="9.5"/>
    <s v="ORD124370"/>
  </r>
  <r>
    <x v="39"/>
    <x v="6"/>
    <x v="35"/>
    <n v="12.33"/>
    <n v="17"/>
    <n v="4.67"/>
    <x v="1"/>
    <n v="68"/>
    <n v="18.68"/>
    <s v="ORD124005"/>
  </r>
  <r>
    <x v="39"/>
    <x v="12"/>
    <x v="47"/>
    <n v="14.7"/>
    <n v="19"/>
    <n v="4.3000000000000007"/>
    <x v="9"/>
    <n v="190"/>
    <n v="43.000000000000007"/>
    <s v="ORD124336"/>
  </r>
  <r>
    <x v="39"/>
    <x v="11"/>
    <x v="23"/>
    <n v="2.4500000000000002"/>
    <n v="4"/>
    <n v="1.5499999999999998"/>
    <x v="1"/>
    <n v="16"/>
    <n v="6.1999999999999993"/>
    <s v="ORD124200"/>
  </r>
  <r>
    <x v="39"/>
    <x v="0"/>
    <x v="39"/>
    <n v="12.29"/>
    <n v="17"/>
    <n v="4.7100000000000009"/>
    <x v="4"/>
    <n v="17"/>
    <n v="4.7100000000000009"/>
    <s v="ORD124232"/>
  </r>
  <r>
    <x v="40"/>
    <x v="3"/>
    <x v="3"/>
    <n v="18.5"/>
    <n v="23"/>
    <n v="4.5"/>
    <x v="4"/>
    <n v="23"/>
    <n v="4.5"/>
    <s v="ORD124259"/>
  </r>
  <r>
    <x v="40"/>
    <x v="2"/>
    <x v="2"/>
    <n v="10.25"/>
    <n v="14"/>
    <n v="3.75"/>
    <x v="4"/>
    <n v="14"/>
    <n v="3.75"/>
    <s v="ORD124293"/>
  </r>
  <r>
    <x v="41"/>
    <x v="12"/>
    <x v="48"/>
    <n v="18"/>
    <n v="25"/>
    <n v="7"/>
    <x v="4"/>
    <n v="25"/>
    <n v="7"/>
    <s v="ORD124219"/>
  </r>
  <r>
    <x v="41"/>
    <x v="0"/>
    <x v="15"/>
    <n v="12"/>
    <n v="18"/>
    <n v="6"/>
    <x v="5"/>
    <n v="144"/>
    <n v="48"/>
    <s v="ORD124017"/>
  </r>
  <r>
    <x v="42"/>
    <x v="1"/>
    <x v="38"/>
    <n v="12.5"/>
    <n v="17"/>
    <n v="4.5"/>
    <x v="5"/>
    <n v="136"/>
    <n v="36"/>
    <s v="ORD124163"/>
  </r>
  <r>
    <x v="42"/>
    <x v="1"/>
    <x v="38"/>
    <n v="12.5"/>
    <n v="17"/>
    <n v="4.5"/>
    <x v="3"/>
    <n v="51"/>
    <n v="13.5"/>
    <s v="ORD124279"/>
  </r>
  <r>
    <x v="42"/>
    <x v="0"/>
    <x v="14"/>
    <n v="14.5"/>
    <n v="19"/>
    <n v="4.5"/>
    <x v="4"/>
    <n v="19"/>
    <n v="4.5"/>
    <s v="ORD124393"/>
  </r>
  <r>
    <x v="42"/>
    <x v="0"/>
    <x v="14"/>
    <n v="14.5"/>
    <n v="19"/>
    <n v="4.5"/>
    <x v="4"/>
    <n v="19"/>
    <n v="4.5"/>
    <s v="ORD124407"/>
  </r>
  <r>
    <x v="43"/>
    <x v="2"/>
    <x v="49"/>
    <n v="12.5"/>
    <n v="18"/>
    <n v="5.5"/>
    <x v="6"/>
    <n v="126"/>
    <n v="38.5"/>
    <s v="ORD124288"/>
  </r>
  <r>
    <x v="43"/>
    <x v="1"/>
    <x v="11"/>
    <n v="43.5"/>
    <n v="55"/>
    <n v="11.5"/>
    <x v="3"/>
    <n v="165"/>
    <n v="34.5"/>
    <s v="ORD124168"/>
  </r>
  <r>
    <x v="43"/>
    <x v="1"/>
    <x v="11"/>
    <n v="43.5"/>
    <n v="55"/>
    <n v="11.5"/>
    <x v="0"/>
    <n v="275"/>
    <n v="57.5"/>
    <s v="ORD124047"/>
  </r>
  <r>
    <x v="43"/>
    <x v="11"/>
    <x v="33"/>
    <n v="3.15"/>
    <n v="5"/>
    <n v="1.85"/>
    <x v="3"/>
    <n v="15"/>
    <n v="5.5500000000000007"/>
    <s v="ORD124195"/>
  </r>
  <r>
    <x v="43"/>
    <x v="11"/>
    <x v="33"/>
    <n v="3.15"/>
    <n v="5"/>
    <n v="1.85"/>
    <x v="4"/>
    <n v="5"/>
    <n v="1.85"/>
    <s v="ORD124074"/>
  </r>
  <r>
    <x v="43"/>
    <x v="0"/>
    <x v="14"/>
    <n v="14.5"/>
    <n v="19"/>
    <n v="4.5"/>
    <x v="6"/>
    <n v="133"/>
    <n v="31.5"/>
    <s v="ORD124379"/>
  </r>
  <r>
    <x v="44"/>
    <x v="8"/>
    <x v="50"/>
    <n v="35.65"/>
    <n v="40"/>
    <n v="4.3500000000000014"/>
    <x v="7"/>
    <n v="240"/>
    <n v="26.100000000000009"/>
    <s v="ORD124305"/>
  </r>
  <r>
    <x v="44"/>
    <x v="3"/>
    <x v="43"/>
    <n v="12.5"/>
    <n v="18"/>
    <n v="5.5"/>
    <x v="0"/>
    <n v="90"/>
    <n v="27.5"/>
    <s v="ORD124150"/>
  </r>
  <r>
    <x v="44"/>
    <x v="3"/>
    <x v="3"/>
    <n v="18.5"/>
    <n v="23"/>
    <n v="4.5"/>
    <x v="2"/>
    <n v="46"/>
    <n v="9"/>
    <s v="ORD124265"/>
  </r>
  <r>
    <x v="44"/>
    <x v="11"/>
    <x v="22"/>
    <n v="1.25"/>
    <n v="3"/>
    <n v="1.75"/>
    <x v="9"/>
    <n v="30"/>
    <n v="17.5"/>
    <s v="ORD124311"/>
  </r>
  <r>
    <x v="44"/>
    <x v="0"/>
    <x v="16"/>
    <n v="13.5"/>
    <n v="18"/>
    <n v="4.5"/>
    <x v="4"/>
    <n v="18"/>
    <n v="4.5"/>
    <s v="ORD124390"/>
  </r>
  <r>
    <x v="44"/>
    <x v="0"/>
    <x v="16"/>
    <n v="13.5"/>
    <n v="18"/>
    <n v="4.5"/>
    <x v="2"/>
    <n v="36"/>
    <n v="9"/>
    <s v="ORD124404"/>
  </r>
  <r>
    <x v="44"/>
    <x v="0"/>
    <x v="16"/>
    <n v="13.5"/>
    <n v="18"/>
    <n v="4.5"/>
    <x v="4"/>
    <n v="18"/>
    <n v="4.5"/>
    <s v="ORD124418"/>
  </r>
  <r>
    <x v="45"/>
    <x v="12"/>
    <x v="51"/>
    <n v="22.25"/>
    <n v="30"/>
    <n v="7.75"/>
    <x v="8"/>
    <n v="270"/>
    <n v="69.75"/>
    <s v="ORD124214"/>
  </r>
  <r>
    <x v="45"/>
    <x v="0"/>
    <x v="39"/>
    <n v="12.29"/>
    <n v="17"/>
    <n v="4.7100000000000009"/>
    <x v="1"/>
    <n v="68"/>
    <n v="18.840000000000003"/>
    <s v="ORD124254"/>
  </r>
  <r>
    <x v="46"/>
    <x v="10"/>
    <x v="20"/>
    <n v="45.24"/>
    <n v="65"/>
    <n v="19.759999999999998"/>
    <x v="3"/>
    <n v="195"/>
    <n v="59.279999999999994"/>
    <s v="ORD124343"/>
  </r>
  <r>
    <x v="46"/>
    <x v="0"/>
    <x v="16"/>
    <n v="13.5"/>
    <n v="18"/>
    <n v="4.5"/>
    <x v="5"/>
    <n v="144"/>
    <n v="36"/>
    <s v="ORD124376"/>
  </r>
  <r>
    <x v="47"/>
    <x v="9"/>
    <x v="19"/>
    <n v="22"/>
    <n v="27"/>
    <n v="5"/>
    <x v="0"/>
    <n v="135"/>
    <n v="25"/>
    <s v="ORD124323"/>
  </r>
  <r>
    <x v="47"/>
    <x v="11"/>
    <x v="23"/>
    <n v="2.4500000000000002"/>
    <n v="4"/>
    <n v="1.5499999999999998"/>
    <x v="1"/>
    <n v="16"/>
    <n v="6.1999999999999993"/>
    <s v="ORD124316"/>
  </r>
  <r>
    <x v="48"/>
    <x v="4"/>
    <x v="30"/>
    <n v="12.5"/>
    <n v="16"/>
    <n v="3.5"/>
    <x v="2"/>
    <n v="32"/>
    <n v="7"/>
    <s v="ORD124270"/>
  </r>
  <r>
    <x v="48"/>
    <x v="5"/>
    <x v="40"/>
    <n v="9.5"/>
    <n v="14"/>
    <n v="4.5"/>
    <x v="1"/>
    <n v="56"/>
    <n v="18"/>
    <s v="ORD124183"/>
  </r>
  <r>
    <x v="48"/>
    <x v="5"/>
    <x v="40"/>
    <n v="9.5"/>
    <n v="14"/>
    <n v="4.5"/>
    <x v="2"/>
    <n v="28"/>
    <n v="9"/>
    <s v="ORD124062"/>
  </r>
  <r>
    <x v="48"/>
    <x v="0"/>
    <x v="14"/>
    <n v="14.5"/>
    <n v="19"/>
    <n v="4.5"/>
    <x v="7"/>
    <n v="114"/>
    <n v="27"/>
    <s v="ORD124352"/>
  </r>
  <r>
    <x v="49"/>
    <x v="1"/>
    <x v="9"/>
    <n v="13.83"/>
    <n v="18"/>
    <n v="4.17"/>
    <x v="5"/>
    <n v="144"/>
    <n v="33.36"/>
    <s v="ORD124278"/>
  </r>
  <r>
    <x v="50"/>
    <x v="3"/>
    <x v="8"/>
    <n v="16.170000000000002"/>
    <n v="20"/>
    <n v="3.8299999999999983"/>
    <x v="2"/>
    <n v="40"/>
    <n v="7.6599999999999966"/>
    <s v="ORD124260"/>
  </r>
  <r>
    <x v="51"/>
    <x v="3"/>
    <x v="8"/>
    <n v="16.170000000000002"/>
    <n v="20"/>
    <n v="3.8299999999999983"/>
    <x v="3"/>
    <n v="60"/>
    <n v="11.489999999999995"/>
    <s v="ORD124144"/>
  </r>
  <r>
    <x v="52"/>
    <x v="2"/>
    <x v="2"/>
    <n v="10.25"/>
    <n v="14"/>
    <n v="3.75"/>
    <x v="1"/>
    <n v="56"/>
    <n v="15"/>
    <s v="ORD124287"/>
  </r>
  <r>
    <x v="53"/>
    <x v="6"/>
    <x v="7"/>
    <n v="20.329999999999998"/>
    <n v="25"/>
    <n v="4.6700000000000017"/>
    <x v="7"/>
    <n v="150"/>
    <n v="28.02000000000001"/>
    <s v="ORD124001"/>
  </r>
  <r>
    <x v="53"/>
    <x v="8"/>
    <x v="42"/>
    <n v="39"/>
    <n v="45"/>
    <n v="6"/>
    <x v="9"/>
    <n v="450"/>
    <n v="60"/>
    <s v="ORD124309"/>
  </r>
  <r>
    <x v="53"/>
    <x v="4"/>
    <x v="30"/>
    <n v="12.5"/>
    <n v="16"/>
    <n v="3.5"/>
    <x v="1"/>
    <n v="64"/>
    <n v="14"/>
    <s v="ORD124153"/>
  </r>
  <r>
    <x v="54"/>
    <x v="12"/>
    <x v="48"/>
    <n v="18"/>
    <n v="25"/>
    <n v="7"/>
    <x v="7"/>
    <n v="150"/>
    <n v="42"/>
    <s v="ORD124333"/>
  </r>
  <r>
    <x v="55"/>
    <x v="6"/>
    <x v="32"/>
    <n v="14"/>
    <n v="19"/>
    <n v="5"/>
    <x v="3"/>
    <n v="57"/>
    <n v="15"/>
    <s v="ORD124129"/>
  </r>
  <r>
    <x v="55"/>
    <x v="3"/>
    <x v="8"/>
    <n v="16.170000000000002"/>
    <n v="20"/>
    <n v="3.8299999999999983"/>
    <x v="2"/>
    <n v="40"/>
    <n v="7.6599999999999966"/>
    <s v="ORD124264"/>
  </r>
  <r>
    <x v="55"/>
    <x v="5"/>
    <x v="31"/>
    <n v="7.5"/>
    <n v="12"/>
    <n v="4.5"/>
    <x v="4"/>
    <n v="12"/>
    <n v="4.5"/>
    <s v="ORD124201"/>
  </r>
  <r>
    <x v="56"/>
    <x v="8"/>
    <x v="13"/>
    <n v="38.72"/>
    <n v="43"/>
    <n v="4.2800000000000011"/>
    <x v="7"/>
    <n v="258"/>
    <n v="25.680000000000007"/>
    <s v="ORD124193"/>
  </r>
  <r>
    <x v="56"/>
    <x v="8"/>
    <x v="13"/>
    <n v="38.72"/>
    <n v="43"/>
    <n v="4.2800000000000011"/>
    <x v="4"/>
    <n v="43"/>
    <n v="4.2800000000000011"/>
    <s v="ORD124072"/>
  </r>
  <r>
    <x v="56"/>
    <x v="10"/>
    <x v="20"/>
    <n v="45.24"/>
    <n v="65"/>
    <n v="19.759999999999998"/>
    <x v="6"/>
    <n v="455"/>
    <n v="138.32"/>
    <s v="ORD124227"/>
  </r>
  <r>
    <x v="57"/>
    <x v="3"/>
    <x v="3"/>
    <n v="18.5"/>
    <n v="23"/>
    <n v="4.5"/>
    <x v="8"/>
    <n v="207"/>
    <n v="40.5"/>
    <s v="ORD124025"/>
  </r>
  <r>
    <x v="58"/>
    <x v="2"/>
    <x v="52"/>
    <n v="10.75"/>
    <n v="14"/>
    <n v="3.25"/>
    <x v="8"/>
    <n v="126"/>
    <n v="29.25"/>
    <s v="ORD124291"/>
  </r>
  <r>
    <x v="58"/>
    <x v="10"/>
    <x v="34"/>
    <n v="23.5"/>
    <n v="28"/>
    <n v="4.5"/>
    <x v="3"/>
    <n v="84"/>
    <n v="13.5"/>
    <s v="ORD124342"/>
  </r>
  <r>
    <x v="58"/>
    <x v="1"/>
    <x v="38"/>
    <n v="12.5"/>
    <n v="17"/>
    <n v="4.5"/>
    <x v="6"/>
    <n v="119"/>
    <n v="31.5"/>
    <s v="ORD124169"/>
  </r>
  <r>
    <x v="58"/>
    <x v="0"/>
    <x v="15"/>
    <n v="12"/>
    <n v="18"/>
    <n v="6"/>
    <x v="8"/>
    <n v="162"/>
    <n v="54"/>
    <s v="ORD124138"/>
  </r>
  <r>
    <x v="59"/>
    <x v="10"/>
    <x v="34"/>
    <n v="23.5"/>
    <n v="28"/>
    <n v="4.5"/>
    <x v="7"/>
    <n v="168"/>
    <n v="27"/>
    <s v="ORD124345"/>
  </r>
  <r>
    <x v="59"/>
    <x v="4"/>
    <x v="46"/>
    <n v="13.5"/>
    <n v="18"/>
    <n v="4.5"/>
    <x v="9"/>
    <n v="180"/>
    <n v="45"/>
    <s v="ORD124158"/>
  </r>
  <r>
    <x v="60"/>
    <x v="0"/>
    <x v="36"/>
    <n v="8.75"/>
    <n v="14"/>
    <n v="5.25"/>
    <x v="0"/>
    <n v="70"/>
    <n v="26.25"/>
    <s v="ORD124236"/>
  </r>
  <r>
    <x v="60"/>
    <x v="0"/>
    <x v="39"/>
    <n v="12.29"/>
    <n v="17"/>
    <n v="4.7100000000000009"/>
    <x v="6"/>
    <n v="119"/>
    <n v="32.970000000000006"/>
    <s v="ORD124359"/>
  </r>
  <r>
    <x v="61"/>
    <x v="6"/>
    <x v="28"/>
    <n v="19.829999999999998"/>
    <n v="24"/>
    <n v="4.1700000000000017"/>
    <x v="9"/>
    <n v="240"/>
    <n v="41.700000000000017"/>
    <s v="ORD124242"/>
  </r>
  <r>
    <x v="61"/>
    <x v="3"/>
    <x v="8"/>
    <n v="16.170000000000002"/>
    <n v="20"/>
    <n v="3.8299999999999983"/>
    <x v="5"/>
    <n v="160"/>
    <n v="30.639999999999986"/>
    <s v="ORD124021"/>
  </r>
  <r>
    <x v="61"/>
    <x v="12"/>
    <x v="51"/>
    <n v="22.25"/>
    <n v="30"/>
    <n v="7.75"/>
    <x v="6"/>
    <n v="210"/>
    <n v="54.25"/>
    <s v="ORD124337"/>
  </r>
  <r>
    <x v="62"/>
    <x v="1"/>
    <x v="11"/>
    <n v="43.5"/>
    <n v="55"/>
    <n v="11.5"/>
    <x v="0"/>
    <n v="275"/>
    <n v="57.5"/>
    <s v="ORD124041"/>
  </r>
  <r>
    <x v="62"/>
    <x v="0"/>
    <x v="37"/>
    <n v="10.25"/>
    <n v="15"/>
    <n v="4.75"/>
    <x v="0"/>
    <n v="75"/>
    <n v="23.75"/>
    <s v="ORD124391"/>
  </r>
  <r>
    <x v="62"/>
    <x v="0"/>
    <x v="37"/>
    <n v="10.25"/>
    <n v="15"/>
    <n v="4.75"/>
    <x v="3"/>
    <n v="45"/>
    <n v="14.25"/>
    <s v="ORD124405"/>
  </r>
  <r>
    <x v="62"/>
    <x v="0"/>
    <x v="37"/>
    <n v="10.25"/>
    <n v="15"/>
    <n v="4.75"/>
    <x v="3"/>
    <n v="45"/>
    <n v="14.25"/>
    <s v="ORD124419"/>
  </r>
  <r>
    <x v="63"/>
    <x v="0"/>
    <x v="37"/>
    <n v="10.25"/>
    <n v="15"/>
    <n v="4.75"/>
    <x v="5"/>
    <n v="120"/>
    <n v="38"/>
    <s v="ORD124016"/>
  </r>
  <r>
    <x v="64"/>
    <x v="9"/>
    <x v="19"/>
    <n v="22"/>
    <n v="27"/>
    <n v="5"/>
    <x v="3"/>
    <n v="81"/>
    <n v="15"/>
    <s v="ORD124321"/>
  </r>
  <r>
    <x v="64"/>
    <x v="5"/>
    <x v="5"/>
    <n v="8.17"/>
    <n v="13"/>
    <n v="4.83"/>
    <x v="1"/>
    <n v="52"/>
    <n v="19.32"/>
    <s v="ORD124184"/>
  </r>
  <r>
    <x v="64"/>
    <x v="5"/>
    <x v="5"/>
    <n v="8.17"/>
    <n v="13"/>
    <n v="4.83"/>
    <x v="3"/>
    <n v="39"/>
    <n v="14.49"/>
    <s v="ORD124063"/>
  </r>
  <r>
    <x v="64"/>
    <x v="5"/>
    <x v="53"/>
    <n v="8.17"/>
    <n v="13"/>
    <n v="4.83"/>
    <x v="2"/>
    <n v="26"/>
    <n v="9.66"/>
    <s v="ORD124297"/>
  </r>
  <r>
    <x v="64"/>
    <x v="0"/>
    <x v="37"/>
    <n v="10.25"/>
    <n v="15"/>
    <n v="4.75"/>
    <x v="7"/>
    <n v="90"/>
    <n v="28.5"/>
    <s v="ORD124377"/>
  </r>
  <r>
    <x v="65"/>
    <x v="8"/>
    <x v="50"/>
    <n v="35.65"/>
    <n v="40"/>
    <n v="4.3500000000000014"/>
    <x v="8"/>
    <n v="360"/>
    <n v="39.150000000000013"/>
    <s v="ORD124304"/>
  </r>
  <r>
    <x v="65"/>
    <x v="4"/>
    <x v="6"/>
    <n v="21.17"/>
    <n v="25"/>
    <n v="3.8299999999999983"/>
    <x v="0"/>
    <n v="125"/>
    <n v="19.149999999999991"/>
    <s v="ORD124273"/>
  </r>
  <r>
    <x v="66"/>
    <x v="6"/>
    <x v="35"/>
    <n v="12.33"/>
    <n v="17"/>
    <n v="4.67"/>
    <x v="2"/>
    <n v="34"/>
    <n v="9.34"/>
    <s v="ORD124124"/>
  </r>
  <r>
    <x v="66"/>
    <x v="12"/>
    <x v="25"/>
    <n v="15.5"/>
    <n v="20"/>
    <n v="4.5"/>
    <x v="2"/>
    <n v="40"/>
    <n v="9"/>
    <s v="ORD124215"/>
  </r>
  <r>
    <x v="66"/>
    <x v="11"/>
    <x v="33"/>
    <n v="3.15"/>
    <n v="5"/>
    <n v="1.85"/>
    <x v="9"/>
    <n v="50"/>
    <n v="18.5"/>
    <s v="ORD124196"/>
  </r>
  <r>
    <x v="66"/>
    <x v="11"/>
    <x v="33"/>
    <n v="3.15"/>
    <n v="5"/>
    <n v="1.85"/>
    <x v="1"/>
    <n v="20"/>
    <n v="7.4"/>
    <s v="ORD124075"/>
  </r>
  <r>
    <x v="66"/>
    <x v="0"/>
    <x v="37"/>
    <n v="10.25"/>
    <n v="15"/>
    <n v="4.75"/>
    <x v="7"/>
    <n v="90"/>
    <n v="28.5"/>
    <s v="ORD124255"/>
  </r>
  <r>
    <x v="67"/>
    <x v="5"/>
    <x v="31"/>
    <n v="7.5"/>
    <n v="12"/>
    <n v="4.5"/>
    <x v="3"/>
    <n v="36"/>
    <n v="13.5"/>
    <s v="ORD124318"/>
  </r>
  <r>
    <x v="68"/>
    <x v="9"/>
    <x v="44"/>
    <n v="48.67"/>
    <n v="58"/>
    <n v="9.3299999999999983"/>
    <x v="6"/>
    <n v="406"/>
    <n v="65.309999999999988"/>
    <s v="ORD124326"/>
  </r>
  <r>
    <x v="68"/>
    <x v="0"/>
    <x v="39"/>
    <n v="12.29"/>
    <n v="17"/>
    <n v="4.7100000000000009"/>
    <x v="7"/>
    <n v="102"/>
    <n v="28.260000000000005"/>
    <s v="ORD124385"/>
  </r>
  <r>
    <x v="68"/>
    <x v="0"/>
    <x v="39"/>
    <n v="12.29"/>
    <n v="17"/>
    <n v="4.7100000000000009"/>
    <x v="2"/>
    <n v="34"/>
    <n v="9.4200000000000017"/>
    <s v="ORD124399"/>
  </r>
  <r>
    <x v="68"/>
    <x v="0"/>
    <x v="39"/>
    <n v="12.29"/>
    <n v="17"/>
    <n v="4.7100000000000009"/>
    <x v="2"/>
    <n v="34"/>
    <n v="9.4200000000000017"/>
    <s v="ORD124413"/>
  </r>
  <r>
    <x v="69"/>
    <x v="12"/>
    <x v="48"/>
    <n v="18"/>
    <n v="25"/>
    <n v="7"/>
    <x v="6"/>
    <n v="175"/>
    <n v="49"/>
    <s v="ORD124222"/>
  </r>
  <r>
    <x v="69"/>
    <x v="11"/>
    <x v="23"/>
    <n v="2.4500000000000002"/>
    <n v="4"/>
    <n v="1.5499999999999998"/>
    <x v="2"/>
    <n v="8"/>
    <n v="3.0999999999999996"/>
    <s v="ORD124312"/>
  </r>
  <r>
    <x v="69"/>
    <x v="0"/>
    <x v="39"/>
    <n v="12.29"/>
    <n v="17"/>
    <n v="4.7100000000000009"/>
    <x v="7"/>
    <n v="102"/>
    <n v="28.260000000000005"/>
    <s v="ORD124371"/>
  </r>
  <r>
    <x v="70"/>
    <x v="6"/>
    <x v="7"/>
    <n v="20.329999999999998"/>
    <n v="25"/>
    <n v="4.6700000000000017"/>
    <x v="7"/>
    <n v="150"/>
    <n v="28.02000000000001"/>
    <s v="ORD124247"/>
  </r>
  <r>
    <x v="70"/>
    <x v="5"/>
    <x v="29"/>
    <n v="10.5"/>
    <n v="15"/>
    <n v="4.5"/>
    <x v="0"/>
    <n v="75"/>
    <n v="22.5"/>
    <s v="ORD124301"/>
  </r>
  <r>
    <x v="70"/>
    <x v="0"/>
    <x v="10"/>
    <n v="7.83"/>
    <n v="12"/>
    <n v="4.17"/>
    <x v="3"/>
    <n v="36"/>
    <n v="12.51"/>
    <s v="ORD124133"/>
  </r>
  <r>
    <x v="71"/>
    <x v="3"/>
    <x v="3"/>
    <n v="18.5"/>
    <n v="23"/>
    <n v="4.5"/>
    <x v="3"/>
    <n v="69"/>
    <n v="13.5"/>
    <s v="ORD124148"/>
  </r>
  <r>
    <x v="71"/>
    <x v="5"/>
    <x v="53"/>
    <n v="8.17"/>
    <n v="13"/>
    <n v="4.83"/>
    <x v="8"/>
    <n v="117"/>
    <n v="43.47"/>
    <s v="ORD124179"/>
  </r>
  <r>
    <x v="71"/>
    <x v="5"/>
    <x v="53"/>
    <n v="8.17"/>
    <n v="13"/>
    <n v="4.83"/>
    <x v="3"/>
    <n v="39"/>
    <n v="14.49"/>
    <s v="ORD124058"/>
  </r>
  <r>
    <x v="71"/>
    <x v="0"/>
    <x v="39"/>
    <n v="12.29"/>
    <n v="17"/>
    <n v="4.7100000000000009"/>
    <x v="3"/>
    <n v="51"/>
    <n v="14.130000000000003"/>
    <s v="ORD124363"/>
  </r>
  <r>
    <x v="72"/>
    <x v="0"/>
    <x v="14"/>
    <n v="14.5"/>
    <n v="19"/>
    <n v="4.5"/>
    <x v="2"/>
    <n v="38"/>
    <n v="9"/>
    <s v="ORD124366"/>
  </r>
  <r>
    <x v="73"/>
    <x v="8"/>
    <x v="50"/>
    <n v="35.65"/>
    <n v="40"/>
    <n v="4.3500000000000014"/>
    <x v="4"/>
    <n v="40"/>
    <n v="4.3500000000000014"/>
    <s v="ORD124189"/>
  </r>
  <r>
    <x v="73"/>
    <x v="8"/>
    <x v="50"/>
    <n v="35.65"/>
    <n v="40"/>
    <n v="4.3500000000000014"/>
    <x v="4"/>
    <n v="40"/>
    <n v="4.3500000000000014"/>
    <s v="ORD124068"/>
  </r>
  <r>
    <x v="73"/>
    <x v="2"/>
    <x v="45"/>
    <n v="15.65"/>
    <n v="22"/>
    <n v="6.35"/>
    <x v="9"/>
    <n v="220"/>
    <n v="63.5"/>
    <s v="ORD124176"/>
  </r>
  <r>
    <x v="73"/>
    <x v="2"/>
    <x v="45"/>
    <n v="15.65"/>
    <n v="22"/>
    <n v="6.35"/>
    <x v="5"/>
    <n v="176"/>
    <n v="50.8"/>
    <s v="ORD124055"/>
  </r>
  <r>
    <x v="73"/>
    <x v="7"/>
    <x v="54"/>
    <n v="22.5"/>
    <n v="28"/>
    <n v="5.5"/>
    <x v="7"/>
    <n v="168"/>
    <n v="33"/>
    <s v="ORD124210"/>
  </r>
  <r>
    <x v="73"/>
    <x v="0"/>
    <x v="37"/>
    <n v="10.25"/>
    <n v="15"/>
    <n v="4.75"/>
    <x v="2"/>
    <n v="30"/>
    <n v="9.5"/>
    <s v="ORD124394"/>
  </r>
  <r>
    <x v="73"/>
    <x v="0"/>
    <x v="37"/>
    <n v="10.25"/>
    <n v="15"/>
    <n v="4.75"/>
    <x v="6"/>
    <n v="105"/>
    <n v="33.25"/>
    <s v="ORD124408"/>
  </r>
  <r>
    <x v="74"/>
    <x v="4"/>
    <x v="30"/>
    <n v="12.5"/>
    <n v="16"/>
    <n v="3.5"/>
    <x v="4"/>
    <n v="16"/>
    <n v="3.5"/>
    <s v="ORD124032"/>
  </r>
  <r>
    <x v="74"/>
    <x v="1"/>
    <x v="11"/>
    <n v="43.5"/>
    <n v="55"/>
    <n v="11.5"/>
    <x v="6"/>
    <n v="385"/>
    <n v="80.5"/>
    <s v="ORD124162"/>
  </r>
  <r>
    <x v="75"/>
    <x v="6"/>
    <x v="28"/>
    <n v="19.829999999999998"/>
    <n v="24"/>
    <n v="4.1700000000000017"/>
    <x v="0"/>
    <n v="120"/>
    <n v="20.850000000000009"/>
    <s v="ORD124007"/>
  </r>
  <r>
    <x v="75"/>
    <x v="2"/>
    <x v="49"/>
    <n v="12.5"/>
    <n v="18"/>
    <n v="5.5"/>
    <x v="2"/>
    <n v="36"/>
    <n v="11"/>
    <s v="ORD124171"/>
  </r>
  <r>
    <x v="75"/>
    <x v="2"/>
    <x v="49"/>
    <n v="12.5"/>
    <n v="18"/>
    <n v="5.5"/>
    <x v="0"/>
    <n v="90"/>
    <n v="27.5"/>
    <s v="ORD124050"/>
  </r>
  <r>
    <x v="75"/>
    <x v="4"/>
    <x v="46"/>
    <n v="13.5"/>
    <n v="18"/>
    <n v="4.5"/>
    <x v="2"/>
    <n v="36"/>
    <n v="9"/>
    <s v="ORD124037"/>
  </r>
  <r>
    <x v="75"/>
    <x v="1"/>
    <x v="1"/>
    <n v="23.45"/>
    <n v="29"/>
    <n v="5.5500000000000007"/>
    <x v="2"/>
    <n v="58"/>
    <n v="11.100000000000001"/>
    <s v="ORD124281"/>
  </r>
  <r>
    <x v="75"/>
    <x v="0"/>
    <x v="10"/>
    <n v="7.83"/>
    <n v="12"/>
    <n v="4.17"/>
    <x v="3"/>
    <n v="36"/>
    <n v="12.51"/>
    <s v="ORD124252"/>
  </r>
  <r>
    <x v="75"/>
    <x v="0"/>
    <x v="37"/>
    <n v="10.25"/>
    <n v="15"/>
    <n v="4.75"/>
    <x v="4"/>
    <n v="15"/>
    <n v="4.75"/>
    <s v="ORD124380"/>
  </r>
  <r>
    <x v="75"/>
    <x v="0"/>
    <x v="39"/>
    <n v="12.29"/>
    <n v="17"/>
    <n v="4.7100000000000009"/>
    <x v="3"/>
    <n v="51"/>
    <n v="14.130000000000003"/>
    <s v="ORD124353"/>
  </r>
  <r>
    <x v="76"/>
    <x v="1"/>
    <x v="17"/>
    <n v="32.75"/>
    <n v="40"/>
    <n v="7.25"/>
    <x v="0"/>
    <n v="200"/>
    <n v="36.25"/>
    <s v="ORD124046"/>
  </r>
  <r>
    <x v="77"/>
    <x v="3"/>
    <x v="8"/>
    <n v="16.170000000000002"/>
    <n v="20"/>
    <n v="3.8299999999999983"/>
    <x v="8"/>
    <n v="180"/>
    <n v="34.469999999999985"/>
    <s v="ORD124268"/>
  </r>
  <r>
    <x v="77"/>
    <x v="9"/>
    <x v="19"/>
    <n v="22"/>
    <n v="27"/>
    <n v="5"/>
    <x v="7"/>
    <n v="162"/>
    <n v="30"/>
    <s v="ORD124205"/>
  </r>
  <r>
    <x v="77"/>
    <x v="7"/>
    <x v="55"/>
    <n v="10.5"/>
    <n v="15"/>
    <n v="4.5"/>
    <x v="8"/>
    <n v="135"/>
    <n v="40.5"/>
    <s v="ORD124329"/>
  </r>
  <r>
    <x v="78"/>
    <x v="1"/>
    <x v="17"/>
    <n v="32.75"/>
    <n v="40"/>
    <n v="7.25"/>
    <x v="4"/>
    <n v="40"/>
    <n v="7.25"/>
    <s v="ORD124167"/>
  </r>
  <r>
    <x v="79"/>
    <x v="8"/>
    <x v="42"/>
    <n v="39"/>
    <n v="45"/>
    <n v="6"/>
    <x v="5"/>
    <n v="360"/>
    <n v="48"/>
    <s v="ORD124303"/>
  </r>
  <r>
    <x v="79"/>
    <x v="4"/>
    <x v="30"/>
    <n v="12.5"/>
    <n v="16"/>
    <n v="3.5"/>
    <x v="0"/>
    <n v="80"/>
    <n v="17.5"/>
    <s v="ORD124272"/>
  </r>
  <r>
    <x v="80"/>
    <x v="6"/>
    <x v="32"/>
    <n v="14"/>
    <n v="19"/>
    <n v="5"/>
    <x v="5"/>
    <n v="152"/>
    <n v="40"/>
    <s v="ORD124241"/>
  </r>
  <r>
    <x v="80"/>
    <x v="12"/>
    <x v="25"/>
    <n v="15.5"/>
    <n v="20"/>
    <n v="4.5"/>
    <x v="5"/>
    <n v="160"/>
    <n v="36"/>
    <s v="ORD124339"/>
  </r>
  <r>
    <x v="80"/>
    <x v="0"/>
    <x v="0"/>
    <n v="8.17"/>
    <n v="13"/>
    <n v="4.83"/>
    <x v="8"/>
    <n v="117"/>
    <n v="43.47"/>
    <s v="ORD124257"/>
  </r>
  <r>
    <x v="81"/>
    <x v="0"/>
    <x v="36"/>
    <n v="8.75"/>
    <n v="14"/>
    <n v="5.25"/>
    <x v="2"/>
    <n v="28"/>
    <n v="10.5"/>
    <s v="ORD124141"/>
  </r>
  <r>
    <x v="81"/>
    <x v="0"/>
    <x v="39"/>
    <n v="12.29"/>
    <n v="17"/>
    <n v="4.7100000000000009"/>
    <x v="4"/>
    <n v="17"/>
    <n v="4.7100000000000009"/>
    <s v="ORD124014"/>
  </r>
  <r>
    <x v="81"/>
    <x v="0"/>
    <x v="14"/>
    <n v="14.5"/>
    <n v="19"/>
    <n v="4.5"/>
    <x v="5"/>
    <n v="152"/>
    <n v="36"/>
    <s v="ORD124233"/>
  </r>
  <r>
    <x v="82"/>
    <x v="10"/>
    <x v="34"/>
    <n v="23.5"/>
    <n v="28"/>
    <n v="4.5"/>
    <x v="5"/>
    <n v="224"/>
    <n v="36"/>
    <s v="ORD124230"/>
  </r>
  <r>
    <x v="82"/>
    <x v="5"/>
    <x v="53"/>
    <n v="8.17"/>
    <n v="13"/>
    <n v="4.83"/>
    <x v="4"/>
    <n v="13"/>
    <n v="4.83"/>
    <s v="ORD124181"/>
  </r>
  <r>
    <x v="82"/>
    <x v="5"/>
    <x v="40"/>
    <n v="9.5"/>
    <n v="14"/>
    <n v="4.5"/>
    <x v="0"/>
    <n v="70"/>
    <n v="22.5"/>
    <s v="ORD124060"/>
  </r>
  <r>
    <x v="82"/>
    <x v="0"/>
    <x v="37"/>
    <n v="10.25"/>
    <n v="15"/>
    <n v="4.75"/>
    <x v="8"/>
    <n v="135"/>
    <n v="42.75"/>
    <s v="ORD124354"/>
  </r>
  <r>
    <x v="83"/>
    <x v="2"/>
    <x v="49"/>
    <n v="12.5"/>
    <n v="18"/>
    <n v="5.5"/>
    <x v="2"/>
    <n v="36"/>
    <n v="11"/>
    <s v="ORD124286"/>
  </r>
  <r>
    <x v="84"/>
    <x v="1"/>
    <x v="9"/>
    <n v="13.83"/>
    <n v="18"/>
    <n v="4.17"/>
    <x v="0"/>
    <n v="90"/>
    <n v="20.85"/>
    <s v="ORD124043"/>
  </r>
  <r>
    <x v="85"/>
    <x v="3"/>
    <x v="3"/>
    <n v="18.5"/>
    <n v="23"/>
    <n v="4.5"/>
    <x v="7"/>
    <n v="138"/>
    <n v="27"/>
    <s v="ORD124026"/>
  </r>
  <r>
    <x v="85"/>
    <x v="9"/>
    <x v="19"/>
    <n v="22"/>
    <n v="27"/>
    <n v="5"/>
    <x v="3"/>
    <n v="81"/>
    <n v="15"/>
    <s v="ORD124327"/>
  </r>
  <r>
    <x v="85"/>
    <x v="1"/>
    <x v="9"/>
    <n v="13.83"/>
    <n v="18"/>
    <n v="4.17"/>
    <x v="4"/>
    <n v="18"/>
    <n v="4.17"/>
    <s v="ORD124277"/>
  </r>
  <r>
    <x v="85"/>
    <x v="0"/>
    <x v="56"/>
    <n v="32"/>
    <n v="37"/>
    <n v="5"/>
    <x v="4"/>
    <n v="37"/>
    <n v="5"/>
    <s v="ORD124386"/>
  </r>
  <r>
    <x v="85"/>
    <x v="0"/>
    <x v="56"/>
    <n v="32"/>
    <n v="37"/>
    <n v="5"/>
    <x v="3"/>
    <n v="111"/>
    <n v="15"/>
    <s v="ORD124400"/>
  </r>
  <r>
    <x v="85"/>
    <x v="0"/>
    <x v="56"/>
    <n v="32"/>
    <n v="37"/>
    <n v="5"/>
    <x v="7"/>
    <n v="222"/>
    <n v="30"/>
    <s v="ORD124414"/>
  </r>
  <r>
    <x v="86"/>
    <x v="6"/>
    <x v="28"/>
    <n v="19.829999999999998"/>
    <n v="24"/>
    <n v="4.1700000000000017"/>
    <x v="4"/>
    <n v="24"/>
    <n v="4.1700000000000017"/>
    <s v="ORD124123"/>
  </r>
  <r>
    <x v="86"/>
    <x v="8"/>
    <x v="42"/>
    <n v="39"/>
    <n v="45"/>
    <n v="6"/>
    <x v="2"/>
    <n v="90"/>
    <n v="12"/>
    <s v="ORD124307"/>
  </r>
  <r>
    <x v="86"/>
    <x v="10"/>
    <x v="20"/>
    <n v="45.24"/>
    <n v="65"/>
    <n v="19.759999999999998"/>
    <x v="3"/>
    <n v="195"/>
    <n v="59.279999999999994"/>
    <s v="ORD124224"/>
  </r>
  <r>
    <x v="87"/>
    <x v="9"/>
    <x v="19"/>
    <n v="22"/>
    <n v="27"/>
    <n v="5"/>
    <x v="5"/>
    <n v="216"/>
    <n v="40"/>
    <s v="ORD124203"/>
  </r>
  <r>
    <x v="87"/>
    <x v="4"/>
    <x v="4"/>
    <n v="15.67"/>
    <n v="20"/>
    <n v="4.33"/>
    <x v="5"/>
    <n v="160"/>
    <n v="34.64"/>
    <s v="ORD124154"/>
  </r>
  <r>
    <x v="87"/>
    <x v="1"/>
    <x v="38"/>
    <n v="12.5"/>
    <n v="17"/>
    <n v="4.5"/>
    <x v="8"/>
    <n v="153"/>
    <n v="40.5"/>
    <s v="ORD124048"/>
  </r>
  <r>
    <x v="87"/>
    <x v="0"/>
    <x v="37"/>
    <n v="10.25"/>
    <n v="15"/>
    <n v="4.75"/>
    <x v="9"/>
    <n v="150"/>
    <n v="47.5"/>
    <s v="ORD124362"/>
  </r>
  <r>
    <x v="88"/>
    <x v="4"/>
    <x v="30"/>
    <n v="12.5"/>
    <n v="16"/>
    <n v="3.5"/>
    <x v="1"/>
    <n v="64"/>
    <n v="14"/>
    <s v="ORD124159"/>
  </r>
  <r>
    <x v="89"/>
    <x v="6"/>
    <x v="32"/>
    <n v="14"/>
    <n v="19"/>
    <n v="5"/>
    <x v="1"/>
    <n v="76"/>
    <n v="20"/>
    <s v="ORD124002"/>
  </r>
  <r>
    <x v="89"/>
    <x v="6"/>
    <x v="7"/>
    <n v="20.329999999999998"/>
    <n v="25"/>
    <n v="4.6700000000000017"/>
    <x v="2"/>
    <n v="50"/>
    <n v="9.3400000000000034"/>
    <s v="ORD124245"/>
  </r>
  <r>
    <x v="90"/>
    <x v="7"/>
    <x v="55"/>
    <n v="10.5"/>
    <n v="15"/>
    <n v="4.5"/>
    <x v="2"/>
    <n v="30"/>
    <n v="9"/>
    <s v="ORD124212"/>
  </r>
  <r>
    <x v="90"/>
    <x v="0"/>
    <x v="56"/>
    <n v="32"/>
    <n v="37"/>
    <n v="5"/>
    <x v="2"/>
    <n v="74"/>
    <n v="10"/>
    <s v="ORD124372"/>
  </r>
  <r>
    <x v="91"/>
    <x v="1"/>
    <x v="57"/>
    <n v="17.170000000000002"/>
    <n v="22"/>
    <n v="4.8299999999999983"/>
    <x v="3"/>
    <n v="66"/>
    <n v="14.489999999999995"/>
    <s v="ORD124164"/>
  </r>
  <r>
    <x v="91"/>
    <x v="5"/>
    <x v="53"/>
    <n v="8.17"/>
    <n v="13"/>
    <n v="4.83"/>
    <x v="6"/>
    <n v="91"/>
    <n v="33.81"/>
    <s v="ORD124296"/>
  </r>
  <r>
    <x v="92"/>
    <x v="9"/>
    <x v="44"/>
    <n v="48.67"/>
    <n v="58"/>
    <n v="9.3299999999999983"/>
    <x v="7"/>
    <n v="348"/>
    <n v="55.97999999999999"/>
    <s v="ORD124322"/>
  </r>
  <r>
    <x v="92"/>
    <x v="1"/>
    <x v="57"/>
    <n v="17.170000000000002"/>
    <n v="22"/>
    <n v="4.8299999999999983"/>
    <x v="5"/>
    <n v="176"/>
    <n v="38.639999999999986"/>
    <s v="ORD124282"/>
  </r>
  <r>
    <x v="92"/>
    <x v="0"/>
    <x v="10"/>
    <n v="7.83"/>
    <n v="12"/>
    <n v="4.17"/>
    <x v="3"/>
    <n v="36"/>
    <n v="12.51"/>
    <s v="ORD124132"/>
  </r>
  <r>
    <x v="92"/>
    <x v="0"/>
    <x v="36"/>
    <n v="8.75"/>
    <n v="14"/>
    <n v="5.25"/>
    <x v="0"/>
    <n v="70"/>
    <n v="26.25"/>
    <s v="ORD124018"/>
  </r>
  <r>
    <x v="93"/>
    <x v="4"/>
    <x v="4"/>
    <n v="15.67"/>
    <n v="20"/>
    <n v="4.33"/>
    <x v="9"/>
    <n v="200"/>
    <n v="43.3"/>
    <s v="ORD124033"/>
  </r>
  <r>
    <x v="93"/>
    <x v="11"/>
    <x v="33"/>
    <n v="3.15"/>
    <n v="5"/>
    <n v="1.85"/>
    <x v="6"/>
    <n v="35"/>
    <n v="12.950000000000001"/>
    <s v="ORD124197"/>
  </r>
  <r>
    <x v="93"/>
    <x v="0"/>
    <x v="14"/>
    <n v="14.5"/>
    <n v="19"/>
    <n v="4.5"/>
    <x v="4"/>
    <n v="19"/>
    <n v="4.5"/>
    <s v="ORD124368"/>
  </r>
  <r>
    <x v="93"/>
    <x v="0"/>
    <x v="14"/>
    <n v="14.5"/>
    <n v="19"/>
    <n v="4.5"/>
    <x v="2"/>
    <n v="38"/>
    <n v="9"/>
    <s v="ORD124396"/>
  </r>
  <r>
    <x v="93"/>
    <x v="0"/>
    <x v="14"/>
    <n v="14.5"/>
    <n v="19"/>
    <n v="4.5"/>
    <x v="8"/>
    <n v="171"/>
    <n v="40.5"/>
    <s v="ORD124410"/>
  </r>
  <r>
    <x v="94"/>
    <x v="0"/>
    <x v="14"/>
    <n v="14.5"/>
    <n v="19"/>
    <n v="4.5"/>
    <x v="5"/>
    <n v="152"/>
    <n v="36"/>
    <s v="ORD124382"/>
  </r>
  <r>
    <x v="95"/>
    <x v="2"/>
    <x v="2"/>
    <n v="10.25"/>
    <n v="14"/>
    <n v="3.75"/>
    <x v="3"/>
    <n v="42"/>
    <n v="11.25"/>
    <s v="ORD124172"/>
  </r>
  <r>
    <x v="95"/>
    <x v="2"/>
    <x v="2"/>
    <n v="10.25"/>
    <n v="14"/>
    <n v="3.75"/>
    <x v="0"/>
    <n v="70"/>
    <n v="18.75"/>
    <s v="ORD124051"/>
  </r>
  <r>
    <x v="95"/>
    <x v="11"/>
    <x v="22"/>
    <n v="1.25"/>
    <n v="3"/>
    <n v="1.75"/>
    <x v="7"/>
    <n v="18"/>
    <n v="10.5"/>
    <s v="ORD124313"/>
  </r>
  <r>
    <x v="96"/>
    <x v="10"/>
    <x v="21"/>
    <n v="13"/>
    <n v="18"/>
    <n v="5"/>
    <x v="1"/>
    <n v="72"/>
    <n v="20"/>
    <s v="ORD124344"/>
  </r>
  <r>
    <x v="96"/>
    <x v="11"/>
    <x v="23"/>
    <n v="2.4500000000000002"/>
    <n v="4"/>
    <n v="1.5499999999999998"/>
    <x v="3"/>
    <n v="12"/>
    <n v="4.6499999999999995"/>
    <s v="ORD124317"/>
  </r>
  <r>
    <x v="97"/>
    <x v="3"/>
    <x v="43"/>
    <n v="12.5"/>
    <n v="18"/>
    <n v="5.5"/>
    <x v="1"/>
    <n v="72"/>
    <n v="22"/>
    <s v="ORD124023"/>
  </r>
  <r>
    <x v="97"/>
    <x v="3"/>
    <x v="58"/>
    <n v="13.35"/>
    <n v="19"/>
    <n v="5.65"/>
    <x v="2"/>
    <n v="38"/>
    <n v="11.3"/>
    <s v="ORD124266"/>
  </r>
  <r>
    <x v="97"/>
    <x v="3"/>
    <x v="58"/>
    <n v="13.35"/>
    <n v="19"/>
    <n v="5.65"/>
    <x v="2"/>
    <n v="38"/>
    <n v="11.3"/>
    <s v="ORD124145"/>
  </r>
  <r>
    <x v="97"/>
    <x v="2"/>
    <x v="45"/>
    <n v="15.65"/>
    <n v="22"/>
    <n v="6.35"/>
    <x v="8"/>
    <n v="198"/>
    <n v="57.15"/>
    <s v="ORD124290"/>
  </r>
  <r>
    <x v="98"/>
    <x v="9"/>
    <x v="19"/>
    <n v="22"/>
    <n v="27"/>
    <n v="5"/>
    <x v="9"/>
    <n v="270"/>
    <n v="50"/>
    <s v="ORD124208"/>
  </r>
  <r>
    <x v="98"/>
    <x v="0"/>
    <x v="14"/>
    <n v="14.5"/>
    <n v="19"/>
    <n v="4.5"/>
    <x v="2"/>
    <n v="38"/>
    <n v="9"/>
    <s v="ORD124375"/>
  </r>
  <r>
    <x v="99"/>
    <x v="6"/>
    <x v="35"/>
    <n v="12.33"/>
    <n v="17"/>
    <n v="4.67"/>
    <x v="4"/>
    <n v="17"/>
    <n v="4.67"/>
    <s v="ORD124010"/>
  </r>
  <r>
    <x v="99"/>
    <x v="0"/>
    <x v="56"/>
    <n v="32"/>
    <n v="37"/>
    <n v="5"/>
    <x v="2"/>
    <n v="74"/>
    <n v="10"/>
    <s v="ORD124358"/>
  </r>
  <r>
    <x v="100"/>
    <x v="5"/>
    <x v="29"/>
    <n v="10.5"/>
    <n v="15"/>
    <n v="4.5"/>
    <x v="2"/>
    <n v="30"/>
    <n v="9"/>
    <s v="ORD124186"/>
  </r>
  <r>
    <x v="100"/>
    <x v="5"/>
    <x v="29"/>
    <n v="10.5"/>
    <n v="15"/>
    <n v="4.5"/>
    <x v="7"/>
    <n v="90"/>
    <n v="27"/>
    <s v="ORD124065"/>
  </r>
  <r>
    <x v="101"/>
    <x v="0"/>
    <x v="10"/>
    <n v="7.83"/>
    <n v="12"/>
    <n v="4.17"/>
    <x v="5"/>
    <n v="96"/>
    <n v="33.36"/>
    <s v="ORD124253"/>
  </r>
  <r>
    <x v="101"/>
    <x v="0"/>
    <x v="14"/>
    <n v="14.5"/>
    <n v="19"/>
    <n v="4.5"/>
    <x v="5"/>
    <n v="152"/>
    <n v="36"/>
    <s v="ORD124389"/>
  </r>
  <r>
    <x v="101"/>
    <x v="0"/>
    <x v="14"/>
    <n v="14.5"/>
    <n v="19"/>
    <n v="4.5"/>
    <x v="3"/>
    <n v="57"/>
    <n v="13.5"/>
    <s v="ORD124403"/>
  </r>
  <r>
    <x v="101"/>
    <x v="0"/>
    <x v="14"/>
    <n v="14.5"/>
    <n v="19"/>
    <n v="4.5"/>
    <x v="7"/>
    <n v="114"/>
    <n v="27"/>
    <s v="ORD124417"/>
  </r>
  <r>
    <x v="102"/>
    <x v="12"/>
    <x v="51"/>
    <n v="22.25"/>
    <n v="30"/>
    <n v="7.75"/>
    <x v="5"/>
    <n v="240"/>
    <n v="62"/>
    <s v="ORD124217"/>
  </r>
  <r>
    <x v="102"/>
    <x v="1"/>
    <x v="11"/>
    <n v="43.5"/>
    <n v="55"/>
    <n v="11.5"/>
    <x v="2"/>
    <n v="110"/>
    <n v="23"/>
    <s v="ORD124039"/>
  </r>
  <r>
    <x v="103"/>
    <x v="12"/>
    <x v="51"/>
    <n v="22.25"/>
    <n v="30"/>
    <n v="7.75"/>
    <x v="6"/>
    <n v="210"/>
    <n v="54.25"/>
    <s v="ORD124220"/>
  </r>
  <r>
    <x v="103"/>
    <x v="4"/>
    <x v="30"/>
    <n v="12.5"/>
    <n v="16"/>
    <n v="3.5"/>
    <x v="7"/>
    <n v="96"/>
    <n v="21"/>
    <s v="ORD124030"/>
  </r>
  <r>
    <x v="104"/>
    <x v="12"/>
    <x v="51"/>
    <n v="22.25"/>
    <n v="30"/>
    <n v="7.75"/>
    <x v="8"/>
    <n v="270"/>
    <n v="69.75"/>
    <s v="ORD124334"/>
  </r>
  <r>
    <x v="104"/>
    <x v="0"/>
    <x v="39"/>
    <n v="12.29"/>
    <n v="17"/>
    <n v="4.7100000000000009"/>
    <x v="8"/>
    <n v="153"/>
    <n v="42.390000000000008"/>
    <s v="ORD124137"/>
  </r>
  <r>
    <x v="104"/>
    <x v="0"/>
    <x v="14"/>
    <n v="14.5"/>
    <n v="19"/>
    <n v="4.5"/>
    <x v="6"/>
    <n v="133"/>
    <n v="31.5"/>
    <s v="ORD124350"/>
  </r>
  <r>
    <x v="105"/>
    <x v="6"/>
    <x v="28"/>
    <n v="19.829999999999998"/>
    <n v="24"/>
    <n v="4.1700000000000017"/>
    <x v="6"/>
    <n v="168"/>
    <n v="29.190000000000012"/>
    <s v="ORD124127"/>
  </r>
  <r>
    <x v="105"/>
    <x v="8"/>
    <x v="42"/>
    <n v="39"/>
    <n v="45"/>
    <n v="6"/>
    <x v="7"/>
    <n v="270"/>
    <n v="36"/>
    <s v="ORD124192"/>
  </r>
  <r>
    <x v="105"/>
    <x v="8"/>
    <x v="42"/>
    <n v="39"/>
    <n v="45"/>
    <n v="6"/>
    <x v="5"/>
    <n v="360"/>
    <n v="48"/>
    <s v="ORD124071"/>
  </r>
  <r>
    <x v="105"/>
    <x v="7"/>
    <x v="54"/>
    <n v="22.5"/>
    <n v="28"/>
    <n v="5.5"/>
    <x v="6"/>
    <n v="196"/>
    <n v="38.5"/>
    <s v="ORD124330"/>
  </r>
  <r>
    <x v="105"/>
    <x v="0"/>
    <x v="56"/>
    <n v="32"/>
    <n v="37"/>
    <n v="5"/>
    <x v="7"/>
    <n v="222"/>
    <n v="30"/>
    <s v="ORD124237"/>
  </r>
  <r>
    <x v="105"/>
    <x v="0"/>
    <x v="56"/>
    <n v="32"/>
    <n v="37"/>
    <n v="5"/>
    <x v="8"/>
    <n v="333"/>
    <n v="45"/>
    <s v="ORD124119"/>
  </r>
  <r>
    <x v="106"/>
    <x v="3"/>
    <x v="58"/>
    <n v="13.35"/>
    <n v="19"/>
    <n v="5.65"/>
    <x v="6"/>
    <n v="133"/>
    <n v="39.550000000000004"/>
    <s v="ORD124261"/>
  </r>
  <r>
    <x v="106"/>
    <x v="2"/>
    <x v="52"/>
    <n v="10.75"/>
    <n v="14"/>
    <n v="3.25"/>
    <x v="6"/>
    <n v="98"/>
    <n v="22.75"/>
    <s v="ORD124177"/>
  </r>
  <r>
    <x v="106"/>
    <x v="2"/>
    <x v="52"/>
    <n v="10.75"/>
    <n v="14"/>
    <n v="3.25"/>
    <x v="7"/>
    <n v="84"/>
    <n v="19.5"/>
    <s v="ORD124056"/>
  </r>
  <r>
    <x v="107"/>
    <x v="8"/>
    <x v="13"/>
    <n v="38.72"/>
    <n v="43"/>
    <n v="4.2800000000000011"/>
    <x v="3"/>
    <n v="129"/>
    <n v="12.840000000000003"/>
    <s v="ORD124310"/>
  </r>
  <r>
    <x v="108"/>
    <x v="3"/>
    <x v="58"/>
    <n v="13.35"/>
    <n v="19"/>
    <n v="5.65"/>
    <x v="4"/>
    <n v="19"/>
    <n v="5.65"/>
    <s v="ORD124149"/>
  </r>
  <r>
    <x v="108"/>
    <x v="1"/>
    <x v="38"/>
    <n v="12.5"/>
    <n v="17"/>
    <n v="4.5"/>
    <x v="2"/>
    <n v="34"/>
    <n v="9"/>
    <s v="ORD124283"/>
  </r>
  <r>
    <x v="109"/>
    <x v="6"/>
    <x v="32"/>
    <n v="14"/>
    <n v="19"/>
    <n v="5"/>
    <x v="5"/>
    <n v="152"/>
    <n v="40"/>
    <s v="ORD124009"/>
  </r>
  <r>
    <x v="109"/>
    <x v="12"/>
    <x v="51"/>
    <n v="22.25"/>
    <n v="30"/>
    <n v="7.75"/>
    <x v="9"/>
    <n v="300"/>
    <n v="77.5"/>
    <s v="ORD124335"/>
  </r>
  <r>
    <x v="110"/>
    <x v="8"/>
    <x v="13"/>
    <n v="38.72"/>
    <n v="43"/>
    <n v="4.2800000000000011"/>
    <x v="3"/>
    <n v="129"/>
    <n v="12.840000000000003"/>
    <s v="ORD124306"/>
  </r>
  <r>
    <x v="110"/>
    <x v="4"/>
    <x v="27"/>
    <n v="16.170000000000002"/>
    <n v="20"/>
    <n v="3.8299999999999983"/>
    <x v="3"/>
    <n v="60"/>
    <n v="11.489999999999995"/>
    <s v="ORD124152"/>
  </r>
  <r>
    <x v="110"/>
    <x v="11"/>
    <x v="23"/>
    <n v="2.4500000000000002"/>
    <n v="4"/>
    <n v="1.5499999999999998"/>
    <x v="0"/>
    <n v="20"/>
    <n v="7.7499999999999991"/>
    <s v="ORD124198"/>
  </r>
  <r>
    <x v="111"/>
    <x v="9"/>
    <x v="44"/>
    <n v="48.67"/>
    <n v="58"/>
    <n v="9.3299999999999983"/>
    <x v="4"/>
    <n v="58"/>
    <n v="9.3299999999999983"/>
    <s v="ORD124206"/>
  </r>
  <r>
    <x v="111"/>
    <x v="1"/>
    <x v="57"/>
    <n v="17.170000000000002"/>
    <n v="22"/>
    <n v="4.8299999999999983"/>
    <x v="9"/>
    <n v="220"/>
    <n v="48.299999999999983"/>
    <s v="ORD124044"/>
  </r>
  <r>
    <x v="111"/>
    <x v="0"/>
    <x v="26"/>
    <n v="9.83"/>
    <n v="14"/>
    <n v="4.17"/>
    <x v="8"/>
    <n v="126"/>
    <n v="37.53"/>
    <s v="ORD124239"/>
  </r>
  <r>
    <x v="111"/>
    <x v="0"/>
    <x v="26"/>
    <n v="9.83"/>
    <n v="14"/>
    <n v="4.17"/>
    <x v="7"/>
    <n v="84"/>
    <n v="25.02"/>
    <s v="ORD124121"/>
  </r>
  <r>
    <x v="112"/>
    <x v="12"/>
    <x v="59"/>
    <n v="14"/>
    <n v="19"/>
    <n v="5"/>
    <x v="1"/>
    <n v="76"/>
    <n v="20"/>
    <s v="ORD124338"/>
  </r>
  <r>
    <x v="112"/>
    <x v="1"/>
    <x v="57"/>
    <n v="17.170000000000002"/>
    <n v="22"/>
    <n v="4.8299999999999983"/>
    <x v="6"/>
    <n v="154"/>
    <n v="33.809999999999988"/>
    <s v="ORD124165"/>
  </r>
  <r>
    <x v="113"/>
    <x v="6"/>
    <x v="28"/>
    <n v="19.829999999999998"/>
    <n v="24"/>
    <n v="4.1700000000000017"/>
    <x v="1"/>
    <n v="96"/>
    <n v="16.680000000000007"/>
    <s v="ORD124004"/>
  </r>
  <r>
    <x v="113"/>
    <x v="11"/>
    <x v="23"/>
    <n v="2.4500000000000002"/>
    <n v="4"/>
    <n v="1.5499999999999998"/>
    <x v="9"/>
    <n v="40"/>
    <n v="15.499999999999998"/>
    <s v="ORD124194"/>
  </r>
  <r>
    <x v="113"/>
    <x v="11"/>
    <x v="23"/>
    <n v="2.4500000000000002"/>
    <n v="4"/>
    <n v="1.5499999999999998"/>
    <x v="0"/>
    <n v="20"/>
    <n v="7.7499999999999991"/>
    <s v="ORD124073"/>
  </r>
  <r>
    <x v="113"/>
    <x v="0"/>
    <x v="18"/>
    <n v="10.5"/>
    <n v="15"/>
    <n v="4.5"/>
    <x v="6"/>
    <n v="105"/>
    <n v="31.5"/>
    <s v="ORD124367"/>
  </r>
  <r>
    <x v="113"/>
    <x v="0"/>
    <x v="18"/>
    <n v="10.5"/>
    <n v="15"/>
    <n v="4.5"/>
    <x v="2"/>
    <n v="30"/>
    <n v="9"/>
    <s v="ORD124381"/>
  </r>
  <r>
    <x v="113"/>
    <x v="0"/>
    <x v="18"/>
    <n v="10.5"/>
    <n v="15"/>
    <n v="4.5"/>
    <x v="5"/>
    <n v="120"/>
    <n v="36"/>
    <s v="ORD124395"/>
  </r>
  <r>
    <x v="113"/>
    <x v="0"/>
    <x v="18"/>
    <n v="10.5"/>
    <n v="15"/>
    <n v="4.5"/>
    <x v="0"/>
    <n v="75"/>
    <n v="22.5"/>
    <s v="ORD124409"/>
  </r>
  <r>
    <x v="114"/>
    <x v="6"/>
    <x v="7"/>
    <n v="20.329999999999998"/>
    <n v="25"/>
    <n v="4.6700000000000017"/>
    <x v="2"/>
    <n v="50"/>
    <n v="9.3400000000000034"/>
    <s v="ORD124125"/>
  </r>
  <r>
    <x v="114"/>
    <x v="10"/>
    <x v="34"/>
    <n v="23.5"/>
    <n v="28"/>
    <n v="4.5"/>
    <x v="4"/>
    <n v="28"/>
    <n v="4.5"/>
    <s v="ORD124231"/>
  </r>
  <r>
    <x v="114"/>
    <x v="0"/>
    <x v="0"/>
    <n v="8.17"/>
    <n v="13"/>
    <n v="4.83"/>
    <x v="8"/>
    <n v="117"/>
    <n v="43.47"/>
    <s v="ORD124019"/>
  </r>
  <r>
    <x v="115"/>
    <x v="6"/>
    <x v="35"/>
    <n v="12.33"/>
    <n v="17"/>
    <n v="4.67"/>
    <x v="9"/>
    <n v="170"/>
    <n v="46.7"/>
    <s v="ORD124248"/>
  </r>
  <r>
    <x v="115"/>
    <x v="0"/>
    <x v="18"/>
    <n v="10.5"/>
    <n v="15"/>
    <n v="4.5"/>
    <x v="9"/>
    <n v="150"/>
    <n v="45"/>
    <s v="ORD124235"/>
  </r>
  <r>
    <x v="116"/>
    <x v="2"/>
    <x v="2"/>
    <n v="10.25"/>
    <n v="14"/>
    <n v="3.75"/>
    <x v="0"/>
    <n v="70"/>
    <n v="18.75"/>
    <s v="ORD124175"/>
  </r>
  <r>
    <x v="116"/>
    <x v="2"/>
    <x v="2"/>
    <n v="10.25"/>
    <n v="14"/>
    <n v="3.75"/>
    <x v="3"/>
    <n v="42"/>
    <n v="11.25"/>
    <s v="ORD124054"/>
  </r>
  <r>
    <x v="116"/>
    <x v="5"/>
    <x v="40"/>
    <n v="9.5"/>
    <n v="14"/>
    <n v="4.5"/>
    <x v="2"/>
    <n v="28"/>
    <n v="9"/>
    <s v="ORD124299"/>
  </r>
  <r>
    <x v="116"/>
    <x v="0"/>
    <x v="37"/>
    <n v="10.25"/>
    <n v="15"/>
    <n v="4.75"/>
    <x v="2"/>
    <n v="30"/>
    <n v="9.5"/>
    <s v="ORD124364"/>
  </r>
  <r>
    <x v="117"/>
    <x v="7"/>
    <x v="41"/>
    <n v="52"/>
    <n v="60"/>
    <n v="8"/>
    <x v="2"/>
    <n v="120"/>
    <n v="16"/>
    <s v="ORD124211"/>
  </r>
  <r>
    <x v="117"/>
    <x v="5"/>
    <x v="29"/>
    <n v="10.5"/>
    <n v="15"/>
    <n v="4.5"/>
    <x v="2"/>
    <n v="30"/>
    <n v="9"/>
    <s v="ORD124185"/>
  </r>
  <r>
    <x v="117"/>
    <x v="5"/>
    <x v="29"/>
    <n v="10.5"/>
    <n v="15"/>
    <n v="4.5"/>
    <x v="8"/>
    <n v="135"/>
    <n v="40.5"/>
    <s v="ORD124064"/>
  </r>
  <r>
    <x v="117"/>
    <x v="0"/>
    <x v="18"/>
    <n v="10.5"/>
    <n v="15"/>
    <n v="4.5"/>
    <x v="6"/>
    <n v="105"/>
    <n v="31.5"/>
    <s v="ORD124360"/>
  </r>
  <r>
    <x v="118"/>
    <x v="8"/>
    <x v="50"/>
    <n v="35.65"/>
    <n v="40"/>
    <n v="4.3500000000000014"/>
    <x v="8"/>
    <n v="360"/>
    <n v="39.150000000000013"/>
    <s v="ORD124188"/>
  </r>
  <r>
    <x v="118"/>
    <x v="8"/>
    <x v="50"/>
    <n v="35.65"/>
    <n v="40"/>
    <n v="4.3500000000000014"/>
    <x v="8"/>
    <n v="360"/>
    <n v="39.150000000000013"/>
    <s v="ORD124067"/>
  </r>
  <r>
    <x v="118"/>
    <x v="2"/>
    <x v="45"/>
    <n v="15.65"/>
    <n v="22"/>
    <n v="6.35"/>
    <x v="2"/>
    <n v="44"/>
    <n v="12.7"/>
    <s v="ORD124289"/>
  </r>
  <r>
    <x v="118"/>
    <x v="0"/>
    <x v="36"/>
    <n v="8.75"/>
    <n v="14"/>
    <n v="5.25"/>
    <x v="9"/>
    <n v="140"/>
    <n v="52.5"/>
    <s v="ORD124139"/>
  </r>
  <r>
    <x v="119"/>
    <x v="10"/>
    <x v="20"/>
    <n v="45.24"/>
    <n v="65"/>
    <n v="19.759999999999998"/>
    <x v="3"/>
    <n v="195"/>
    <n v="59.279999999999994"/>
    <s v="ORD124348"/>
  </r>
  <r>
    <x v="119"/>
    <x v="0"/>
    <x v="15"/>
    <n v="12"/>
    <n v="18"/>
    <n v="6"/>
    <x v="4"/>
    <n v="18"/>
    <n v="6"/>
    <s v="ORD124251"/>
  </r>
  <r>
    <x v="120"/>
    <x v="10"/>
    <x v="20"/>
    <n v="45.24"/>
    <n v="65"/>
    <n v="19.759999999999998"/>
    <x v="5"/>
    <n v="520"/>
    <n v="158.07999999999998"/>
    <s v="ORD124226"/>
  </r>
  <r>
    <x v="120"/>
    <x v="11"/>
    <x v="22"/>
    <n v="1.25"/>
    <n v="3"/>
    <n v="1.75"/>
    <x v="8"/>
    <n v="27"/>
    <n v="15.75"/>
    <s v="ORD124202"/>
  </r>
  <r>
    <x v="121"/>
    <x v="2"/>
    <x v="2"/>
    <n v="10.25"/>
    <n v="14"/>
    <n v="3.75"/>
    <x v="7"/>
    <n v="84"/>
    <n v="22.5"/>
    <s v="ORD124294"/>
  </r>
  <r>
    <x v="121"/>
    <x v="1"/>
    <x v="9"/>
    <n v="13.83"/>
    <n v="18"/>
    <n v="4.17"/>
    <x v="0"/>
    <n v="90"/>
    <n v="20.85"/>
    <s v="ORD124161"/>
  </r>
  <r>
    <x v="121"/>
    <x v="11"/>
    <x v="33"/>
    <n v="3.15"/>
    <n v="5"/>
    <n v="1.85"/>
    <x v="7"/>
    <n v="30"/>
    <n v="11.100000000000001"/>
    <s v="ORD124314"/>
  </r>
  <r>
    <x v="122"/>
    <x v="0"/>
    <x v="24"/>
    <n v="12"/>
    <n v="17"/>
    <n v="5"/>
    <x v="5"/>
    <n v="136"/>
    <n v="40"/>
    <s v="ORD124135"/>
  </r>
  <r>
    <x v="123"/>
    <x v="6"/>
    <x v="35"/>
    <n v="12.33"/>
    <n v="17"/>
    <n v="4.67"/>
    <x v="7"/>
    <n v="102"/>
    <n v="28.02"/>
    <s v="ORD124243"/>
  </r>
  <r>
    <x v="123"/>
    <x v="4"/>
    <x v="6"/>
    <n v="21.17"/>
    <n v="25"/>
    <n v="3.8299999999999983"/>
    <x v="9"/>
    <n v="250"/>
    <n v="38.299999999999983"/>
    <s v="ORD124036"/>
  </r>
  <r>
    <x v="124"/>
    <x v="12"/>
    <x v="47"/>
    <n v="14.7"/>
    <n v="19"/>
    <n v="4.3000000000000007"/>
    <x v="1"/>
    <n v="76"/>
    <n v="17.200000000000003"/>
    <s v="ORD124221"/>
  </r>
  <r>
    <x v="124"/>
    <x v="7"/>
    <x v="12"/>
    <n v="12"/>
    <n v="17"/>
    <n v="5"/>
    <x v="6"/>
    <n v="119"/>
    <n v="35"/>
    <s v="ORD124332"/>
  </r>
  <r>
    <x v="125"/>
    <x v="3"/>
    <x v="43"/>
    <n v="12.5"/>
    <n v="18"/>
    <n v="5.5"/>
    <x v="1"/>
    <n v="72"/>
    <n v="22"/>
    <s v="ORD124143"/>
  </r>
  <r>
    <x v="125"/>
    <x v="3"/>
    <x v="58"/>
    <n v="13.35"/>
    <n v="19"/>
    <n v="5.65"/>
    <x v="5"/>
    <n v="152"/>
    <n v="45.2"/>
    <s v="ORD124024"/>
  </r>
  <r>
    <x v="125"/>
    <x v="4"/>
    <x v="27"/>
    <n v="16.170000000000002"/>
    <n v="20"/>
    <n v="3.8299999999999983"/>
    <x v="0"/>
    <n v="100"/>
    <n v="19.149999999999991"/>
    <s v="ORD124269"/>
  </r>
  <r>
    <x v="126"/>
    <x v="11"/>
    <x v="22"/>
    <n v="1.25"/>
    <n v="3"/>
    <n v="1.75"/>
    <x v="8"/>
    <n v="27"/>
    <n v="15.75"/>
    <s v="ORD124319"/>
  </r>
  <r>
    <x v="127"/>
    <x v="6"/>
    <x v="7"/>
    <n v="20.329999999999998"/>
    <n v="25"/>
    <n v="4.6700000000000017"/>
    <x v="7"/>
    <n v="150"/>
    <n v="28.02000000000001"/>
    <s v="ORD124130"/>
  </r>
  <r>
    <x v="127"/>
    <x v="10"/>
    <x v="21"/>
    <n v="13"/>
    <n v="18"/>
    <n v="5"/>
    <x v="8"/>
    <n v="162"/>
    <n v="45"/>
    <s v="ORD124346"/>
  </r>
  <r>
    <x v="127"/>
    <x v="0"/>
    <x v="10"/>
    <n v="7.83"/>
    <n v="12"/>
    <n v="4.17"/>
    <x v="2"/>
    <n v="24"/>
    <n v="8.34"/>
    <s v="ORD124012"/>
  </r>
  <r>
    <x v="128"/>
    <x v="4"/>
    <x v="30"/>
    <n v="12.5"/>
    <n v="16"/>
    <n v="3.5"/>
    <x v="7"/>
    <n v="96"/>
    <n v="21"/>
    <s v="ORD124274"/>
  </r>
  <r>
    <x v="128"/>
    <x v="4"/>
    <x v="6"/>
    <n v="21.17"/>
    <n v="25"/>
    <n v="3.8299999999999983"/>
    <x v="7"/>
    <n v="150"/>
    <n v="22.97999999999999"/>
    <s v="ORD124157"/>
  </r>
  <r>
    <x v="128"/>
    <x v="0"/>
    <x v="37"/>
    <n v="10.25"/>
    <n v="15"/>
    <n v="4.75"/>
    <x v="2"/>
    <n v="30"/>
    <n v="9.5"/>
    <s v="ORD124373"/>
  </r>
  <r>
    <x v="128"/>
    <x v="0"/>
    <x v="37"/>
    <n v="10.25"/>
    <n v="15"/>
    <n v="4.75"/>
    <x v="8"/>
    <n v="135"/>
    <n v="42.75"/>
    <s v="ORD124387"/>
  </r>
  <r>
    <x v="128"/>
    <x v="0"/>
    <x v="37"/>
    <n v="10.25"/>
    <n v="15"/>
    <n v="4.75"/>
    <x v="7"/>
    <n v="90"/>
    <n v="28.5"/>
    <s v="ORD124401"/>
  </r>
  <r>
    <x v="128"/>
    <x v="0"/>
    <x v="37"/>
    <n v="10.25"/>
    <n v="15"/>
    <n v="4.75"/>
    <x v="1"/>
    <n v="60"/>
    <n v="19"/>
    <s v="ORD124415"/>
  </r>
  <r>
    <x v="129"/>
    <x v="3"/>
    <x v="58"/>
    <n v="13.35"/>
    <n v="19"/>
    <n v="5.65"/>
    <x v="2"/>
    <n v="38"/>
    <n v="11.3"/>
    <s v="ORD124028"/>
  </r>
  <r>
    <x v="130"/>
    <x v="0"/>
    <x v="18"/>
    <n v="10.5"/>
    <n v="15"/>
    <n v="4.5"/>
    <x v="0"/>
    <n v="75"/>
    <n v="22.5"/>
    <s v="ORD124357"/>
  </r>
  <r>
    <x v="131"/>
    <x v="2"/>
    <x v="49"/>
    <n v="12.5"/>
    <n v="18"/>
    <n v="5.5"/>
    <x v="0"/>
    <n v="90"/>
    <n v="27.5"/>
    <s v="ORD124170"/>
  </r>
  <r>
    <x v="131"/>
    <x v="2"/>
    <x v="49"/>
    <n v="12.5"/>
    <n v="18"/>
    <n v="5.5"/>
    <x v="8"/>
    <n v="162"/>
    <n v="49.5"/>
    <s v="ORD124049"/>
  </r>
  <r>
    <x v="132"/>
    <x v="3"/>
    <x v="43"/>
    <n v="12.5"/>
    <n v="18"/>
    <n v="5.5"/>
    <x v="3"/>
    <n v="54"/>
    <n v="16.5"/>
    <s v="ORD124262"/>
  </r>
  <r>
    <x v="133"/>
    <x v="12"/>
    <x v="59"/>
    <n v="14"/>
    <n v="19"/>
    <n v="5"/>
    <x v="8"/>
    <n v="171"/>
    <n v="45"/>
    <s v="ORD124216"/>
  </r>
  <r>
    <x v="133"/>
    <x v="0"/>
    <x v="24"/>
    <n v="12"/>
    <n v="17"/>
    <n v="5"/>
    <x v="6"/>
    <n v="119"/>
    <n v="35"/>
    <s v="ORD124256"/>
  </r>
  <r>
    <x v="134"/>
    <x v="9"/>
    <x v="19"/>
    <n v="22"/>
    <n v="27"/>
    <n v="5"/>
    <x v="2"/>
    <n v="54"/>
    <n v="10"/>
    <s v="ORD1243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410587-6D07-4B2B-9939-04FEB07F696A}" name="PivotTable1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R34:T48" firstHeaderRow="0" firstDataRow="1" firstDataCol="1"/>
  <pivotFields count="11">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4">
        <item x="0"/>
        <item x="5"/>
        <item x="7"/>
        <item x="11"/>
        <item x="1"/>
        <item x="4"/>
        <item x="12"/>
        <item x="10"/>
        <item x="9"/>
        <item x="2"/>
        <item x="3"/>
        <item x="8"/>
        <item x="6"/>
        <item t="default"/>
      </items>
    </pivotField>
    <pivotField showAll="0"/>
    <pivotField showAll="0"/>
    <pivotField showAll="0"/>
    <pivotField showAll="0"/>
    <pivotField dataField="1" showAll="0">
      <items count="11">
        <item x="4"/>
        <item x="2"/>
        <item x="3"/>
        <item x="1"/>
        <item x="0"/>
        <item x="7"/>
        <item x="6"/>
        <item x="5"/>
        <item x="8"/>
        <item x="9"/>
        <item t="default"/>
      </items>
    </pivotField>
    <pivotField dataField="1" showAll="0"/>
    <pivotField showAll="0"/>
    <pivotField showAll="0"/>
    <pivotField multipleItemSelectionAllowed="1" showAll="0" defaultSubtotal="0">
      <items count="14">
        <item h="1" sd="0" x="0"/>
        <item h="1" sd="0" x="1"/>
        <item h="1" sd="0" x="2"/>
        <item h="1" sd="0" x="3"/>
        <item h="1" sd="0" x="4"/>
        <item sd="0" x="5"/>
        <item h="1" sd="0" x="6"/>
        <item h="1" sd="0" x="7"/>
        <item h="1" sd="0" x="8"/>
        <item h="1" sd="0" x="9"/>
        <item h="1" sd="0" x="10"/>
        <item h="1" sd="0" x="11"/>
        <item h="1" sd="0" x="12"/>
        <item h="1" sd="0" x="13"/>
      </items>
    </pivotField>
  </pivotFields>
  <rowFields count="1">
    <field x="1"/>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6" baseField="0" baseItem="0"/>
    <dataField name="Sum of Total Sales" fld="7" baseField="0" baseItem="0"/>
  </dataFields>
  <formats count="23">
    <format dxfId="146">
      <pivotArea outline="0" collapsedLevelsAreSubtotals="1" fieldPosition="0"/>
    </format>
    <format dxfId="145">
      <pivotArea dataOnly="0" labelOnly="1" outline="0" fieldPosition="0">
        <references count="1">
          <reference field="4294967294" count="2">
            <x v="0"/>
            <x v="1"/>
          </reference>
        </references>
      </pivotArea>
    </format>
    <format dxfId="144">
      <pivotArea type="all" dataOnly="0" outline="0" fieldPosition="0"/>
    </format>
    <format dxfId="143">
      <pivotArea outline="0" collapsedLevelsAreSubtotals="1" fieldPosition="0"/>
    </format>
    <format dxfId="142">
      <pivotArea field="1" type="button" dataOnly="0" labelOnly="1" outline="0" axis="axisRow" fieldPosition="0"/>
    </format>
    <format dxfId="141">
      <pivotArea dataOnly="0" labelOnly="1" fieldPosition="0">
        <references count="1">
          <reference field="1" count="0"/>
        </references>
      </pivotArea>
    </format>
    <format dxfId="140">
      <pivotArea dataOnly="0" labelOnly="1" grandRow="1" outline="0" fieldPosition="0"/>
    </format>
    <format dxfId="139">
      <pivotArea dataOnly="0" labelOnly="1" outline="0" fieldPosition="0">
        <references count="1">
          <reference field="4294967294" count="2">
            <x v="0"/>
            <x v="1"/>
          </reference>
        </references>
      </pivotArea>
    </format>
    <format dxfId="138">
      <pivotArea outline="0" collapsedLevelsAreSubtotals="1" fieldPosition="0">
        <references count="1">
          <reference field="4294967294" count="1" selected="0">
            <x v="0"/>
          </reference>
        </references>
      </pivotArea>
    </format>
    <format dxfId="137">
      <pivotArea type="all" dataOnly="0" outline="0" fieldPosition="0"/>
    </format>
    <format dxfId="136">
      <pivotArea outline="0" collapsedLevelsAreSubtotals="1" fieldPosition="0"/>
    </format>
    <format dxfId="135">
      <pivotArea field="1" type="button" dataOnly="0" labelOnly="1" outline="0" axis="axisRow" fieldPosition="0"/>
    </format>
    <format dxfId="134">
      <pivotArea dataOnly="0" labelOnly="1" fieldPosition="0">
        <references count="1">
          <reference field="1" count="0"/>
        </references>
      </pivotArea>
    </format>
    <format dxfId="133">
      <pivotArea dataOnly="0" labelOnly="1" grandRow="1" outline="0" fieldPosition="0"/>
    </format>
    <format dxfId="132">
      <pivotArea dataOnly="0" labelOnly="1" outline="0" fieldPosition="0">
        <references count="1">
          <reference field="4294967294" count="2">
            <x v="0"/>
            <x v="1"/>
          </reference>
        </references>
      </pivotArea>
    </format>
    <format dxfId="131">
      <pivotArea type="all" dataOnly="0" outline="0" fieldPosition="0"/>
    </format>
    <format dxfId="130">
      <pivotArea outline="0" collapsedLevelsAreSubtotals="1" fieldPosition="0"/>
    </format>
    <format dxfId="129">
      <pivotArea field="1" type="button" dataOnly="0" labelOnly="1" outline="0" axis="axisRow" fieldPosition="0"/>
    </format>
    <format dxfId="128">
      <pivotArea dataOnly="0" labelOnly="1" fieldPosition="0">
        <references count="1">
          <reference field="1" count="0"/>
        </references>
      </pivotArea>
    </format>
    <format dxfId="127">
      <pivotArea dataOnly="0" labelOnly="1" grandRow="1" outline="0" fieldPosition="0"/>
    </format>
    <format dxfId="126">
      <pivotArea dataOnly="0" labelOnly="1" outline="0" fieldPosition="0">
        <references count="1">
          <reference field="4294967294" count="2">
            <x v="0"/>
            <x v="1"/>
          </reference>
        </references>
      </pivotArea>
    </format>
    <format dxfId="125">
      <pivotArea field="1" type="button" dataOnly="0" labelOnly="1" outline="0" axis="axisRow" fieldPosition="0"/>
    </format>
    <format dxfId="124">
      <pivotArea dataOnly="0" labelOnly="1" outline="0" fieldPosition="0">
        <references count="1">
          <reference field="4294967294" count="2">
            <x v="0"/>
            <x v="1"/>
          </reference>
        </references>
      </pivotArea>
    </format>
  </formats>
  <conditionalFormats count="2">
    <conditionalFormat priority="1">
      <pivotAreas count="1">
        <pivotArea type="data" collapsedLevelsAreSubtotals="1" fieldPosition="0">
          <references count="2">
            <reference field="4294967294" count="1" selected="0">
              <x v="1"/>
            </reference>
            <reference field="1" count="13">
              <x v="0"/>
              <x v="1"/>
              <x v="2"/>
              <x v="3"/>
              <x v="4"/>
              <x v="5"/>
              <x v="6"/>
              <x v="7"/>
              <x v="8"/>
              <x v="9"/>
              <x v="10"/>
              <x v="11"/>
              <x v="12"/>
            </reference>
          </references>
        </pivotArea>
      </pivotAreas>
    </conditionalFormat>
    <conditionalFormat priority="2">
      <pivotAreas count="1">
        <pivotArea type="data" collapsedLevelsAreSubtotals="1" fieldPosition="0">
          <references count="2">
            <reference field="4294967294" count="1" selected="0">
              <x v="0"/>
            </reference>
            <reference field="1" count="13">
              <x v="0"/>
              <x v="1"/>
              <x v="2"/>
              <x v="3"/>
              <x v="4"/>
              <x v="5"/>
              <x v="6"/>
              <x v="7"/>
              <x v="8"/>
              <x v="9"/>
              <x v="10"/>
              <x v="11"/>
              <x v="12"/>
            </reference>
          </references>
        </pivotArea>
      </pivotAreas>
    </conditionalFormat>
  </conditionalFormats>
  <chartFormats count="1">
    <chartFormat chart="1" format="0"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DA5C7D-6F69-4C64-8214-1D3502F80851}"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V34:X64" firstHeaderRow="0" firstDataRow="1" firstDataCol="1"/>
  <pivotFields count="11">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4">
        <item x="0"/>
        <item x="5"/>
        <item x="7"/>
        <item x="11"/>
        <item x="1"/>
        <item x="4"/>
        <item x="12"/>
        <item x="10"/>
        <item x="9"/>
        <item x="2"/>
        <item x="3"/>
        <item x="8"/>
        <item x="6"/>
        <item t="default"/>
      </items>
    </pivotField>
    <pivotField showAll="0"/>
    <pivotField showAll="0"/>
    <pivotField showAll="0"/>
    <pivotField showAll="0"/>
    <pivotField showAll="0">
      <items count="11">
        <item x="4"/>
        <item x="2"/>
        <item x="3"/>
        <item x="1"/>
        <item x="0"/>
        <item x="7"/>
        <item x="6"/>
        <item x="5"/>
        <item x="8"/>
        <item x="9"/>
        <item t="default"/>
      </items>
    </pivotField>
    <pivotField dataField="1" showAll="0"/>
    <pivotField dataField="1" showAll="0"/>
    <pivotField showAll="0"/>
    <pivotField multipleItemSelectionAllowed="1" showAll="0" defaultSubtotal="0">
      <items count="14">
        <item h="1" sd="0" x="0"/>
        <item h="1" sd="0" x="1"/>
        <item h="1" sd="0" x="2"/>
        <item h="1" sd="0" x="3"/>
        <item h="1" sd="0" x="4"/>
        <item sd="0" x="5"/>
        <item h="1" sd="0" x="6"/>
        <item h="1" sd="0" x="7"/>
        <item h="1" sd="0" x="8"/>
        <item h="1" sd="0" x="9"/>
        <item h="1" sd="0" x="10"/>
        <item h="1" sd="0" x="11"/>
        <item h="1" sd="0" x="12"/>
        <item h="1" sd="0" x="13"/>
      </items>
    </pivotField>
  </pivotFields>
  <rowFields count="1">
    <field x="0"/>
  </rowFields>
  <rowItems count="30">
    <i>
      <x v="122"/>
    </i>
    <i>
      <x v="123"/>
    </i>
    <i>
      <x v="124"/>
    </i>
    <i>
      <x v="125"/>
    </i>
    <i>
      <x v="126"/>
    </i>
    <i>
      <x v="127"/>
    </i>
    <i>
      <x v="128"/>
    </i>
    <i>
      <x v="129"/>
    </i>
    <i>
      <x v="130"/>
    </i>
    <i>
      <x v="131"/>
    </i>
    <i>
      <x v="133"/>
    </i>
    <i>
      <x v="134"/>
    </i>
    <i>
      <x v="135"/>
    </i>
    <i>
      <x v="136"/>
    </i>
    <i>
      <x v="137"/>
    </i>
    <i>
      <x v="138"/>
    </i>
    <i>
      <x v="139"/>
    </i>
    <i>
      <x v="140"/>
    </i>
    <i>
      <x v="141"/>
    </i>
    <i>
      <x v="142"/>
    </i>
    <i>
      <x v="143"/>
    </i>
    <i>
      <x v="144"/>
    </i>
    <i>
      <x v="145"/>
    </i>
    <i>
      <x v="147"/>
    </i>
    <i>
      <x v="148"/>
    </i>
    <i>
      <x v="149"/>
    </i>
    <i>
      <x v="150"/>
    </i>
    <i>
      <x v="151"/>
    </i>
    <i>
      <x v="152"/>
    </i>
    <i t="grand">
      <x/>
    </i>
  </rowItems>
  <colFields count="1">
    <field x="-2"/>
  </colFields>
  <colItems count="2">
    <i>
      <x/>
    </i>
    <i i="1">
      <x v="1"/>
    </i>
  </colItems>
  <dataFields count="2">
    <dataField name="Sum of Total Sales" fld="7" baseField="0" baseItem="0"/>
    <dataField name="Sum of Total Revenue" fld="8" baseField="0" baseItem="0"/>
  </dataFields>
  <formats count="23">
    <format dxfId="169">
      <pivotArea outline="0" collapsedLevelsAreSubtotals="1" fieldPosition="0"/>
    </format>
    <format dxfId="168">
      <pivotArea dataOnly="0" labelOnly="1" outline="0" axis="axisValues" fieldPosition="0"/>
    </format>
    <format dxfId="167">
      <pivotArea type="all" dataOnly="0" outline="0" fieldPosition="0"/>
    </format>
    <format dxfId="166">
      <pivotArea outline="0" collapsedLevelsAreSubtotals="1" fieldPosition="0"/>
    </format>
    <format dxfId="165">
      <pivotArea field="0" type="button" dataOnly="0" labelOnly="1" outline="0" axis="axisRow" fieldPosition="0"/>
    </format>
    <format dxfId="164">
      <pivotArea dataOnly="0" labelOnly="1" fieldPosition="0">
        <references count="1">
          <reference field="0" count="29">
            <x v="122"/>
            <x v="123"/>
            <x v="124"/>
            <x v="125"/>
            <x v="126"/>
            <x v="127"/>
            <x v="128"/>
            <x v="129"/>
            <x v="130"/>
            <x v="131"/>
            <x v="133"/>
            <x v="134"/>
            <x v="135"/>
            <x v="136"/>
            <x v="137"/>
            <x v="138"/>
            <x v="139"/>
            <x v="140"/>
            <x v="141"/>
            <x v="142"/>
            <x v="143"/>
            <x v="144"/>
            <x v="145"/>
            <x v="147"/>
            <x v="148"/>
            <x v="149"/>
            <x v="150"/>
            <x v="151"/>
            <x v="152"/>
          </reference>
        </references>
      </pivotArea>
    </format>
    <format dxfId="163">
      <pivotArea dataOnly="0" labelOnly="1" grandRow="1" outline="0" fieldPosition="0"/>
    </format>
    <format dxfId="162">
      <pivotArea dataOnly="0" labelOnly="1" outline="0" fieldPosition="0">
        <references count="1">
          <reference field="4294967294" count="2">
            <x v="0"/>
            <x v="1"/>
          </reference>
        </references>
      </pivotArea>
    </format>
    <format dxfId="161">
      <pivotArea outline="0" collapsedLevelsAreSubtotals="1" fieldPosition="0">
        <references count="1">
          <reference field="4294967294" count="1" selected="0">
            <x v="0"/>
          </reference>
        </references>
      </pivotArea>
    </format>
    <format dxfId="160">
      <pivotArea type="all" dataOnly="0" outline="0" fieldPosition="0"/>
    </format>
    <format dxfId="159">
      <pivotArea outline="0" collapsedLevelsAreSubtotals="1" fieldPosition="0"/>
    </format>
    <format dxfId="158">
      <pivotArea field="0" type="button" dataOnly="0" labelOnly="1" outline="0" axis="axisRow" fieldPosition="0"/>
    </format>
    <format dxfId="157">
      <pivotArea dataOnly="0" labelOnly="1" fieldPosition="0">
        <references count="1">
          <reference field="0" count="28">
            <x v="183"/>
            <x v="184"/>
            <x v="185"/>
            <x v="186"/>
            <x v="187"/>
            <x v="188"/>
            <x v="189"/>
            <x v="190"/>
            <x v="191"/>
            <x v="192"/>
            <x v="193"/>
            <x v="194"/>
            <x v="195"/>
            <x v="196"/>
            <x v="197"/>
            <x v="198"/>
            <x v="199"/>
            <x v="200"/>
            <x v="201"/>
            <x v="202"/>
            <x v="203"/>
            <x v="204"/>
            <x v="205"/>
            <x v="206"/>
            <x v="208"/>
            <x v="209"/>
            <x v="211"/>
            <x v="212"/>
          </reference>
        </references>
      </pivotArea>
    </format>
    <format dxfId="156">
      <pivotArea dataOnly="0" labelOnly="1" grandRow="1" outline="0" fieldPosition="0"/>
    </format>
    <format dxfId="155">
      <pivotArea dataOnly="0" labelOnly="1" outline="0" fieldPosition="0">
        <references count="1">
          <reference field="4294967294" count="2">
            <x v="0"/>
            <x v="1"/>
          </reference>
        </references>
      </pivotArea>
    </format>
    <format dxfId="154">
      <pivotArea type="all" dataOnly="0" outline="0" fieldPosition="0"/>
    </format>
    <format dxfId="153">
      <pivotArea outline="0" collapsedLevelsAreSubtotals="1" fieldPosition="0"/>
    </format>
    <format dxfId="152">
      <pivotArea field="0" type="button" dataOnly="0" labelOnly="1" outline="0" axis="axisRow" fieldPosition="0"/>
    </format>
    <format dxfId="151">
      <pivotArea dataOnly="0" labelOnly="1" fieldPosition="0">
        <references count="1">
          <reference field="0" count="28">
            <x v="183"/>
            <x v="184"/>
            <x v="185"/>
            <x v="186"/>
            <x v="187"/>
            <x v="188"/>
            <x v="189"/>
            <x v="190"/>
            <x v="191"/>
            <x v="192"/>
            <x v="193"/>
            <x v="194"/>
            <x v="195"/>
            <x v="196"/>
            <x v="197"/>
            <x v="198"/>
            <x v="199"/>
            <x v="200"/>
            <x v="201"/>
            <x v="202"/>
            <x v="203"/>
            <x v="204"/>
            <x v="205"/>
            <x v="206"/>
            <x v="208"/>
            <x v="209"/>
            <x v="211"/>
            <x v="212"/>
          </reference>
        </references>
      </pivotArea>
    </format>
    <format dxfId="150">
      <pivotArea dataOnly="0" labelOnly="1" grandRow="1" outline="0" fieldPosition="0"/>
    </format>
    <format dxfId="149">
      <pivotArea dataOnly="0" labelOnly="1" outline="0" fieldPosition="0">
        <references count="1">
          <reference field="4294967294" count="2">
            <x v="0"/>
            <x v="1"/>
          </reference>
        </references>
      </pivotArea>
    </format>
    <format dxfId="148">
      <pivotArea field="0" type="button" dataOnly="0" labelOnly="1" outline="0" axis="axisRow" fieldPosition="0"/>
    </format>
    <format dxfId="147">
      <pivotArea dataOnly="0" labelOnly="1" outline="0" fieldPosition="0">
        <references count="1">
          <reference field="4294967294" count="2">
            <x v="0"/>
            <x v="1"/>
          </reference>
        </references>
      </pivotArea>
    </format>
  </format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AB57453-8785-4365-A883-C751E4741CAE}"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N20:P50" firstHeaderRow="0" firstDataRow="1" firstDataCol="1"/>
  <pivotFields count="11">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4">
        <item x="0"/>
        <item x="5"/>
        <item x="7"/>
        <item x="11"/>
        <item x="1"/>
        <item x="4"/>
        <item x="12"/>
        <item x="10"/>
        <item x="9"/>
        <item x="2"/>
        <item x="3"/>
        <item x="8"/>
        <item x="6"/>
        <item t="default"/>
      </items>
    </pivotField>
    <pivotField showAll="0"/>
    <pivotField showAll="0"/>
    <pivotField showAll="0"/>
    <pivotField showAll="0"/>
    <pivotField showAll="0">
      <items count="11">
        <item x="4"/>
        <item x="2"/>
        <item x="3"/>
        <item x="1"/>
        <item x="0"/>
        <item x="7"/>
        <item x="6"/>
        <item x="5"/>
        <item x="8"/>
        <item x="9"/>
        <item t="default"/>
      </items>
    </pivotField>
    <pivotField dataField="1" showAll="0"/>
    <pivotField dataField="1" showAll="0"/>
    <pivotField showAll="0"/>
    <pivotField multipleItemSelectionAllowed="1" showAll="0" defaultSubtotal="0">
      <items count="14">
        <item h="1" sd="0" x="0"/>
        <item h="1" sd="0" x="1"/>
        <item h="1" sd="0" x="2"/>
        <item h="1" sd="0" x="3"/>
        <item h="1" sd="0" x="4"/>
        <item sd="0" x="5"/>
        <item h="1" sd="0" x="6"/>
        <item h="1" sd="0" x="7"/>
        <item h="1" sd="0" x="8"/>
        <item h="1" sd="0" x="9"/>
        <item h="1" sd="0" x="10"/>
        <item h="1" sd="0" x="11"/>
        <item h="1" sd="0" x="12"/>
        <item h="1" sd="0" x="13"/>
      </items>
    </pivotField>
  </pivotFields>
  <rowFields count="1">
    <field x="0"/>
  </rowFields>
  <rowItems count="30">
    <i>
      <x v="122"/>
    </i>
    <i>
      <x v="123"/>
    </i>
    <i>
      <x v="124"/>
    </i>
    <i>
      <x v="125"/>
    </i>
    <i>
      <x v="126"/>
    </i>
    <i>
      <x v="127"/>
    </i>
    <i>
      <x v="128"/>
    </i>
    <i>
      <x v="129"/>
    </i>
    <i>
      <x v="130"/>
    </i>
    <i>
      <x v="131"/>
    </i>
    <i>
      <x v="133"/>
    </i>
    <i>
      <x v="134"/>
    </i>
    <i>
      <x v="135"/>
    </i>
    <i>
      <x v="136"/>
    </i>
    <i>
      <x v="137"/>
    </i>
    <i>
      <x v="138"/>
    </i>
    <i>
      <x v="139"/>
    </i>
    <i>
      <x v="140"/>
    </i>
    <i>
      <x v="141"/>
    </i>
    <i>
      <x v="142"/>
    </i>
    <i>
      <x v="143"/>
    </i>
    <i>
      <x v="144"/>
    </i>
    <i>
      <x v="145"/>
    </i>
    <i>
      <x v="147"/>
    </i>
    <i>
      <x v="148"/>
    </i>
    <i>
      <x v="149"/>
    </i>
    <i>
      <x v="150"/>
    </i>
    <i>
      <x v="151"/>
    </i>
    <i>
      <x v="152"/>
    </i>
    <i t="grand">
      <x/>
    </i>
  </rowItems>
  <colFields count="1">
    <field x="-2"/>
  </colFields>
  <colItems count="2">
    <i>
      <x/>
    </i>
    <i i="1">
      <x v="1"/>
    </i>
  </colItems>
  <dataFields count="2">
    <dataField name="Sum of Total Sales" fld="7" baseField="0" baseItem="0"/>
    <dataField name="Sum of Total Revenue" fld="8" baseField="0" baseItem="0"/>
  </dataFields>
  <formats count="2">
    <format dxfId="109">
      <pivotArea outline="0" collapsedLevelsAreSubtotals="1" fieldPosition="0"/>
    </format>
    <format dxfId="108">
      <pivotArea dataOnly="0" labelOnly="1" outline="0" axis="axisValues" fieldPosition="0"/>
    </format>
  </formats>
  <chartFormats count="5">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2">
          <reference field="4294967294" count="1" selected="0">
            <x v="0"/>
          </reference>
          <reference field="0" count="1" selected="0">
            <x v="18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461F2A9-894D-41B5-B136-6F3D12F93F07}"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location ref="N3:P17" firstHeaderRow="0" firstDataRow="1" firstDataCol="1"/>
  <pivotFields count="11">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4">
        <item x="0"/>
        <item x="5"/>
        <item x="7"/>
        <item x="11"/>
        <item x="1"/>
        <item x="4"/>
        <item x="12"/>
        <item x="10"/>
        <item x="9"/>
        <item x="2"/>
        <item x="3"/>
        <item x="8"/>
        <item x="6"/>
        <item t="default"/>
      </items>
    </pivotField>
    <pivotField showAll="0"/>
    <pivotField showAll="0"/>
    <pivotField showAll="0"/>
    <pivotField showAll="0"/>
    <pivotField dataField="1" showAll="0">
      <items count="11">
        <item x="4"/>
        <item x="2"/>
        <item x="3"/>
        <item x="1"/>
        <item x="0"/>
        <item x="7"/>
        <item x="6"/>
        <item x="5"/>
        <item x="8"/>
        <item x="9"/>
        <item t="default"/>
      </items>
    </pivotField>
    <pivotField dataField="1" showAll="0"/>
    <pivotField showAll="0"/>
    <pivotField showAll="0"/>
    <pivotField multipleItemSelectionAllowed="1" showAll="0" defaultSubtotal="0">
      <items count="14">
        <item h="1" sd="0" x="0"/>
        <item h="1" sd="0" x="1"/>
        <item h="1" sd="0" x="2"/>
        <item h="1" sd="0" x="3"/>
        <item h="1" sd="0" x="4"/>
        <item sd="0" x="5"/>
        <item h="1" sd="0" x="6"/>
        <item h="1" sd="0" x="7"/>
        <item h="1" sd="0" x="8"/>
        <item h="1" sd="0" x="9"/>
        <item h="1" sd="0" x="10"/>
        <item h="1" sd="0" x="11"/>
        <item h="1" sd="0" x="12"/>
        <item h="1" sd="0" x="13"/>
      </items>
    </pivotField>
  </pivotFields>
  <rowFields count="1">
    <field x="1"/>
  </rowFields>
  <rowItems count="14">
    <i>
      <x/>
    </i>
    <i>
      <x v="1"/>
    </i>
    <i>
      <x v="2"/>
    </i>
    <i>
      <x v="3"/>
    </i>
    <i>
      <x v="4"/>
    </i>
    <i>
      <x v="5"/>
    </i>
    <i>
      <x v="6"/>
    </i>
    <i>
      <x v="7"/>
    </i>
    <i>
      <x v="8"/>
    </i>
    <i>
      <x v="9"/>
    </i>
    <i>
      <x v="10"/>
    </i>
    <i>
      <x v="11"/>
    </i>
    <i>
      <x v="12"/>
    </i>
    <i t="grand">
      <x/>
    </i>
  </rowItems>
  <colFields count="1">
    <field x="-2"/>
  </colFields>
  <colItems count="2">
    <i>
      <x/>
    </i>
    <i i="1">
      <x v="1"/>
    </i>
  </colItems>
  <dataFields count="2">
    <dataField name="Sum of Quantity" fld="6" baseField="0" baseItem="0"/>
    <dataField name="Sum of Total Sales" fld="7" baseField="0" baseItem="0"/>
  </dataFields>
  <formats count="4">
    <format dxfId="113">
      <pivotArea outline="0" collapsedLevelsAreSubtotals="1" fieldPosition="0"/>
    </format>
    <format dxfId="112">
      <pivotArea dataOnly="0" labelOnly="1" outline="0" fieldPosition="0">
        <references count="1">
          <reference field="4294967294" count="2">
            <x v="0"/>
            <x v="1"/>
          </reference>
        </references>
      </pivotArea>
    </format>
    <format dxfId="111">
      <pivotArea outline="0" collapsedLevelsAreSubtotals="1" fieldPosition="0">
        <references count="1">
          <reference field="4294967294" count="1" selected="0">
            <x v="1"/>
          </reference>
        </references>
      </pivotArea>
    </format>
    <format dxfId="110">
      <pivotArea dataOnly="0" labelOnly="1" outline="0" fieldPosition="0">
        <references count="1">
          <reference field="4294967294" count="1">
            <x v="1"/>
          </reference>
        </references>
      </pivotArea>
    </format>
  </formats>
  <conditionalFormats count="2">
    <conditionalFormat priority="1">
      <pivotAreas count="1">
        <pivotArea type="data" collapsedLevelsAreSubtotals="1" fieldPosition="0">
          <references count="2">
            <reference field="4294967294" count="1" selected="0">
              <x v="1"/>
            </reference>
            <reference field="1" count="13">
              <x v="0"/>
              <x v="1"/>
              <x v="2"/>
              <x v="3"/>
              <x v="4"/>
              <x v="5"/>
              <x v="6"/>
              <x v="7"/>
              <x v="8"/>
              <x v="9"/>
              <x v="10"/>
              <x v="11"/>
              <x v="12"/>
            </reference>
          </references>
        </pivotArea>
      </pivotAreas>
    </conditionalFormat>
    <conditionalFormat priority="2">
      <pivotAreas count="1">
        <pivotArea type="data" collapsedLevelsAreSubtotals="1" fieldPosition="0">
          <references count="2">
            <reference field="4294967294" count="1" selected="0">
              <x v="0"/>
            </reference>
            <reference field="1" count="13">
              <x v="0"/>
              <x v="1"/>
              <x v="2"/>
              <x v="3"/>
              <x v="4"/>
              <x v="5"/>
              <x v="6"/>
              <x v="7"/>
              <x v="8"/>
              <x v="9"/>
              <x v="10"/>
              <x v="11"/>
              <x v="12"/>
            </reference>
          </references>
        </pivotArea>
      </pivotAreas>
    </conditionalFormat>
  </conditionalFormats>
  <chartFormats count="85">
    <chartFormat chart="1" format="0"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1" count="1" selected="0">
            <x v="0"/>
          </reference>
        </references>
      </pivotArea>
    </chartFormat>
    <chartFormat chart="4" format="4">
      <pivotArea type="data" outline="0" fieldPosition="0">
        <references count="2">
          <reference field="4294967294" count="1" selected="0">
            <x v="0"/>
          </reference>
          <reference field="1" count="1" selected="0">
            <x v="1"/>
          </reference>
        </references>
      </pivotArea>
    </chartFormat>
    <chartFormat chart="4" format="5">
      <pivotArea type="data" outline="0" fieldPosition="0">
        <references count="2">
          <reference field="4294967294" count="1" selected="0">
            <x v="0"/>
          </reference>
          <reference field="1" count="1" selected="0">
            <x v="2"/>
          </reference>
        </references>
      </pivotArea>
    </chartFormat>
    <chartFormat chart="4" format="6">
      <pivotArea type="data" outline="0" fieldPosition="0">
        <references count="2">
          <reference field="4294967294" count="1" selected="0">
            <x v="0"/>
          </reference>
          <reference field="1" count="1" selected="0">
            <x v="3"/>
          </reference>
        </references>
      </pivotArea>
    </chartFormat>
    <chartFormat chart="4" format="7">
      <pivotArea type="data" outline="0" fieldPosition="0">
        <references count="2">
          <reference field="4294967294" count="1" selected="0">
            <x v="0"/>
          </reference>
          <reference field="1" count="1" selected="0">
            <x v="4"/>
          </reference>
        </references>
      </pivotArea>
    </chartFormat>
    <chartFormat chart="4" format="8">
      <pivotArea type="data" outline="0" fieldPosition="0">
        <references count="2">
          <reference field="4294967294" count="1" selected="0">
            <x v="0"/>
          </reference>
          <reference field="1" count="1" selected="0">
            <x v="5"/>
          </reference>
        </references>
      </pivotArea>
    </chartFormat>
    <chartFormat chart="4" format="9">
      <pivotArea type="data" outline="0" fieldPosition="0">
        <references count="2">
          <reference field="4294967294" count="1" selected="0">
            <x v="0"/>
          </reference>
          <reference field="1" count="1" selected="0">
            <x v="6"/>
          </reference>
        </references>
      </pivotArea>
    </chartFormat>
    <chartFormat chart="4" format="10">
      <pivotArea type="data" outline="0" fieldPosition="0">
        <references count="2">
          <reference field="4294967294" count="1" selected="0">
            <x v="0"/>
          </reference>
          <reference field="1" count="1" selected="0">
            <x v="7"/>
          </reference>
        </references>
      </pivotArea>
    </chartFormat>
    <chartFormat chart="4" format="11">
      <pivotArea type="data" outline="0" fieldPosition="0">
        <references count="2">
          <reference field="4294967294" count="1" selected="0">
            <x v="0"/>
          </reference>
          <reference field="1" count="1" selected="0">
            <x v="8"/>
          </reference>
        </references>
      </pivotArea>
    </chartFormat>
    <chartFormat chart="4" format="12">
      <pivotArea type="data" outline="0" fieldPosition="0">
        <references count="2">
          <reference field="4294967294" count="1" selected="0">
            <x v="0"/>
          </reference>
          <reference field="1" count="1" selected="0">
            <x v="9"/>
          </reference>
        </references>
      </pivotArea>
    </chartFormat>
    <chartFormat chart="4" format="13">
      <pivotArea type="data" outline="0" fieldPosition="0">
        <references count="2">
          <reference field="4294967294" count="1" selected="0">
            <x v="0"/>
          </reference>
          <reference field="1" count="1" selected="0">
            <x v="10"/>
          </reference>
        </references>
      </pivotArea>
    </chartFormat>
    <chartFormat chart="4" format="14">
      <pivotArea type="data" outline="0" fieldPosition="0">
        <references count="2">
          <reference field="4294967294" count="1" selected="0">
            <x v="0"/>
          </reference>
          <reference field="1" count="1" selected="0">
            <x v="11"/>
          </reference>
        </references>
      </pivotArea>
    </chartFormat>
    <chartFormat chart="4" format="15">
      <pivotArea type="data" outline="0" fieldPosition="0">
        <references count="2">
          <reference field="4294967294" count="1" selected="0">
            <x v="0"/>
          </reference>
          <reference field="1" count="1" selected="0">
            <x v="12"/>
          </reference>
        </references>
      </pivotArea>
    </chartFormat>
    <chartFormat chart="4" format="16" series="1">
      <pivotArea type="data" outline="0" fieldPosition="0">
        <references count="1">
          <reference field="4294967294" count="1" selected="0">
            <x v="1"/>
          </reference>
        </references>
      </pivotArea>
    </chartFormat>
    <chartFormat chart="4" format="17">
      <pivotArea type="data" outline="0" fieldPosition="0">
        <references count="2">
          <reference field="4294967294" count="1" selected="0">
            <x v="1"/>
          </reference>
          <reference field="1" count="1" selected="0">
            <x v="0"/>
          </reference>
        </references>
      </pivotArea>
    </chartFormat>
    <chartFormat chart="4" format="18">
      <pivotArea type="data" outline="0" fieldPosition="0">
        <references count="2">
          <reference field="4294967294" count="1" selected="0">
            <x v="1"/>
          </reference>
          <reference field="1" count="1" selected="0">
            <x v="1"/>
          </reference>
        </references>
      </pivotArea>
    </chartFormat>
    <chartFormat chart="4" format="19">
      <pivotArea type="data" outline="0" fieldPosition="0">
        <references count="2">
          <reference field="4294967294" count="1" selected="0">
            <x v="1"/>
          </reference>
          <reference field="1" count="1" selected="0">
            <x v="2"/>
          </reference>
        </references>
      </pivotArea>
    </chartFormat>
    <chartFormat chart="4" format="20">
      <pivotArea type="data" outline="0" fieldPosition="0">
        <references count="2">
          <reference field="4294967294" count="1" selected="0">
            <x v="1"/>
          </reference>
          <reference field="1" count="1" selected="0">
            <x v="3"/>
          </reference>
        </references>
      </pivotArea>
    </chartFormat>
    <chartFormat chart="4" format="21">
      <pivotArea type="data" outline="0" fieldPosition="0">
        <references count="2">
          <reference field="4294967294" count="1" selected="0">
            <x v="1"/>
          </reference>
          <reference field="1" count="1" selected="0">
            <x v="4"/>
          </reference>
        </references>
      </pivotArea>
    </chartFormat>
    <chartFormat chart="4" format="22">
      <pivotArea type="data" outline="0" fieldPosition="0">
        <references count="2">
          <reference field="4294967294" count="1" selected="0">
            <x v="1"/>
          </reference>
          <reference field="1" count="1" selected="0">
            <x v="5"/>
          </reference>
        </references>
      </pivotArea>
    </chartFormat>
    <chartFormat chart="4" format="23">
      <pivotArea type="data" outline="0" fieldPosition="0">
        <references count="2">
          <reference field="4294967294" count="1" selected="0">
            <x v="1"/>
          </reference>
          <reference field="1" count="1" selected="0">
            <x v="6"/>
          </reference>
        </references>
      </pivotArea>
    </chartFormat>
    <chartFormat chart="4" format="24">
      <pivotArea type="data" outline="0" fieldPosition="0">
        <references count="2">
          <reference field="4294967294" count="1" selected="0">
            <x v="1"/>
          </reference>
          <reference field="1" count="1" selected="0">
            <x v="7"/>
          </reference>
        </references>
      </pivotArea>
    </chartFormat>
    <chartFormat chart="4" format="25">
      <pivotArea type="data" outline="0" fieldPosition="0">
        <references count="2">
          <reference field="4294967294" count="1" selected="0">
            <x v="1"/>
          </reference>
          <reference field="1" count="1" selected="0">
            <x v="8"/>
          </reference>
        </references>
      </pivotArea>
    </chartFormat>
    <chartFormat chart="4" format="26">
      <pivotArea type="data" outline="0" fieldPosition="0">
        <references count="2">
          <reference field="4294967294" count="1" selected="0">
            <x v="1"/>
          </reference>
          <reference field="1" count="1" selected="0">
            <x v="9"/>
          </reference>
        </references>
      </pivotArea>
    </chartFormat>
    <chartFormat chart="4" format="27">
      <pivotArea type="data" outline="0" fieldPosition="0">
        <references count="2">
          <reference field="4294967294" count="1" selected="0">
            <x v="1"/>
          </reference>
          <reference field="1" count="1" selected="0">
            <x v="10"/>
          </reference>
        </references>
      </pivotArea>
    </chartFormat>
    <chartFormat chart="4" format="28">
      <pivotArea type="data" outline="0" fieldPosition="0">
        <references count="2">
          <reference field="4294967294" count="1" selected="0">
            <x v="1"/>
          </reference>
          <reference field="1" count="1" selected="0">
            <x v="11"/>
          </reference>
        </references>
      </pivotArea>
    </chartFormat>
    <chartFormat chart="4" format="29">
      <pivotArea type="data" outline="0" fieldPosition="0">
        <references count="2">
          <reference field="4294967294" count="1" selected="0">
            <x v="1"/>
          </reference>
          <reference field="1" count="1" selected="0">
            <x v="12"/>
          </reference>
        </references>
      </pivotArea>
    </chartFormat>
    <chartFormat chart="5" format="30" series="1">
      <pivotArea type="data" outline="0" fieldPosition="0">
        <references count="1">
          <reference field="4294967294" count="1" selected="0">
            <x v="0"/>
          </reference>
        </references>
      </pivotArea>
    </chartFormat>
    <chartFormat chart="5" format="31">
      <pivotArea type="data" outline="0" fieldPosition="0">
        <references count="2">
          <reference field="4294967294" count="1" selected="0">
            <x v="0"/>
          </reference>
          <reference field="1" count="1" selected="0">
            <x v="0"/>
          </reference>
        </references>
      </pivotArea>
    </chartFormat>
    <chartFormat chart="5" format="32">
      <pivotArea type="data" outline="0" fieldPosition="0">
        <references count="2">
          <reference field="4294967294" count="1" selected="0">
            <x v="0"/>
          </reference>
          <reference field="1" count="1" selected="0">
            <x v="1"/>
          </reference>
        </references>
      </pivotArea>
    </chartFormat>
    <chartFormat chart="5" format="33">
      <pivotArea type="data" outline="0" fieldPosition="0">
        <references count="2">
          <reference field="4294967294" count="1" selected="0">
            <x v="0"/>
          </reference>
          <reference field="1" count="1" selected="0">
            <x v="2"/>
          </reference>
        </references>
      </pivotArea>
    </chartFormat>
    <chartFormat chart="5" format="34">
      <pivotArea type="data" outline="0" fieldPosition="0">
        <references count="2">
          <reference field="4294967294" count="1" selected="0">
            <x v="0"/>
          </reference>
          <reference field="1" count="1" selected="0">
            <x v="3"/>
          </reference>
        </references>
      </pivotArea>
    </chartFormat>
    <chartFormat chart="5" format="35">
      <pivotArea type="data" outline="0" fieldPosition="0">
        <references count="2">
          <reference field="4294967294" count="1" selected="0">
            <x v="0"/>
          </reference>
          <reference field="1" count="1" selected="0">
            <x v="4"/>
          </reference>
        </references>
      </pivotArea>
    </chartFormat>
    <chartFormat chart="5" format="36">
      <pivotArea type="data" outline="0" fieldPosition="0">
        <references count="2">
          <reference field="4294967294" count="1" selected="0">
            <x v="0"/>
          </reference>
          <reference field="1" count="1" selected="0">
            <x v="5"/>
          </reference>
        </references>
      </pivotArea>
    </chartFormat>
    <chartFormat chart="5" format="37">
      <pivotArea type="data" outline="0" fieldPosition="0">
        <references count="2">
          <reference field="4294967294" count="1" selected="0">
            <x v="0"/>
          </reference>
          <reference field="1" count="1" selected="0">
            <x v="6"/>
          </reference>
        </references>
      </pivotArea>
    </chartFormat>
    <chartFormat chart="5" format="38">
      <pivotArea type="data" outline="0" fieldPosition="0">
        <references count="2">
          <reference field="4294967294" count="1" selected="0">
            <x v="0"/>
          </reference>
          <reference field="1" count="1" selected="0">
            <x v="7"/>
          </reference>
        </references>
      </pivotArea>
    </chartFormat>
    <chartFormat chart="5" format="39">
      <pivotArea type="data" outline="0" fieldPosition="0">
        <references count="2">
          <reference field="4294967294" count="1" selected="0">
            <x v="0"/>
          </reference>
          <reference field="1" count="1" selected="0">
            <x v="8"/>
          </reference>
        </references>
      </pivotArea>
    </chartFormat>
    <chartFormat chart="5" format="40">
      <pivotArea type="data" outline="0" fieldPosition="0">
        <references count="2">
          <reference field="4294967294" count="1" selected="0">
            <x v="0"/>
          </reference>
          <reference field="1" count="1" selected="0">
            <x v="9"/>
          </reference>
        </references>
      </pivotArea>
    </chartFormat>
    <chartFormat chart="5" format="41">
      <pivotArea type="data" outline="0" fieldPosition="0">
        <references count="2">
          <reference field="4294967294" count="1" selected="0">
            <x v="0"/>
          </reference>
          <reference field="1" count="1" selected="0">
            <x v="10"/>
          </reference>
        </references>
      </pivotArea>
    </chartFormat>
    <chartFormat chart="5" format="42">
      <pivotArea type="data" outline="0" fieldPosition="0">
        <references count="2">
          <reference field="4294967294" count="1" selected="0">
            <x v="0"/>
          </reference>
          <reference field="1" count="1" selected="0">
            <x v="11"/>
          </reference>
        </references>
      </pivotArea>
    </chartFormat>
    <chartFormat chart="5" format="43">
      <pivotArea type="data" outline="0" fieldPosition="0">
        <references count="2">
          <reference field="4294967294" count="1" selected="0">
            <x v="0"/>
          </reference>
          <reference field="1" count="1" selected="0">
            <x v="12"/>
          </reference>
        </references>
      </pivotArea>
    </chartFormat>
    <chartFormat chart="5" format="44" series="1">
      <pivotArea type="data" outline="0" fieldPosition="0">
        <references count="1">
          <reference field="4294967294" count="1" selected="0">
            <x v="1"/>
          </reference>
        </references>
      </pivotArea>
    </chartFormat>
    <chartFormat chart="5" format="45">
      <pivotArea type="data" outline="0" fieldPosition="0">
        <references count="2">
          <reference field="4294967294" count="1" selected="0">
            <x v="1"/>
          </reference>
          <reference field="1" count="1" selected="0">
            <x v="0"/>
          </reference>
        </references>
      </pivotArea>
    </chartFormat>
    <chartFormat chart="5" format="46">
      <pivotArea type="data" outline="0" fieldPosition="0">
        <references count="2">
          <reference field="4294967294" count="1" selected="0">
            <x v="1"/>
          </reference>
          <reference field="1" count="1" selected="0">
            <x v="1"/>
          </reference>
        </references>
      </pivotArea>
    </chartFormat>
    <chartFormat chart="5" format="47">
      <pivotArea type="data" outline="0" fieldPosition="0">
        <references count="2">
          <reference field="4294967294" count="1" selected="0">
            <x v="1"/>
          </reference>
          <reference field="1" count="1" selected="0">
            <x v="2"/>
          </reference>
        </references>
      </pivotArea>
    </chartFormat>
    <chartFormat chart="5" format="48">
      <pivotArea type="data" outline="0" fieldPosition="0">
        <references count="2">
          <reference field="4294967294" count="1" selected="0">
            <x v="1"/>
          </reference>
          <reference field="1" count="1" selected="0">
            <x v="3"/>
          </reference>
        </references>
      </pivotArea>
    </chartFormat>
    <chartFormat chart="5" format="49">
      <pivotArea type="data" outline="0" fieldPosition="0">
        <references count="2">
          <reference field="4294967294" count="1" selected="0">
            <x v="1"/>
          </reference>
          <reference field="1" count="1" selected="0">
            <x v="4"/>
          </reference>
        </references>
      </pivotArea>
    </chartFormat>
    <chartFormat chart="5" format="50">
      <pivotArea type="data" outline="0" fieldPosition="0">
        <references count="2">
          <reference field="4294967294" count="1" selected="0">
            <x v="1"/>
          </reference>
          <reference field="1" count="1" selected="0">
            <x v="5"/>
          </reference>
        </references>
      </pivotArea>
    </chartFormat>
    <chartFormat chart="5" format="51">
      <pivotArea type="data" outline="0" fieldPosition="0">
        <references count="2">
          <reference field="4294967294" count="1" selected="0">
            <x v="1"/>
          </reference>
          <reference field="1" count="1" selected="0">
            <x v="6"/>
          </reference>
        </references>
      </pivotArea>
    </chartFormat>
    <chartFormat chart="5" format="52">
      <pivotArea type="data" outline="0" fieldPosition="0">
        <references count="2">
          <reference field="4294967294" count="1" selected="0">
            <x v="1"/>
          </reference>
          <reference field="1" count="1" selected="0">
            <x v="7"/>
          </reference>
        </references>
      </pivotArea>
    </chartFormat>
    <chartFormat chart="5" format="53">
      <pivotArea type="data" outline="0" fieldPosition="0">
        <references count="2">
          <reference field="4294967294" count="1" selected="0">
            <x v="1"/>
          </reference>
          <reference field="1" count="1" selected="0">
            <x v="8"/>
          </reference>
        </references>
      </pivotArea>
    </chartFormat>
    <chartFormat chart="5" format="54">
      <pivotArea type="data" outline="0" fieldPosition="0">
        <references count="2">
          <reference field="4294967294" count="1" selected="0">
            <x v="1"/>
          </reference>
          <reference field="1" count="1" selected="0">
            <x v="9"/>
          </reference>
        </references>
      </pivotArea>
    </chartFormat>
    <chartFormat chart="5" format="55">
      <pivotArea type="data" outline="0" fieldPosition="0">
        <references count="2">
          <reference field="4294967294" count="1" selected="0">
            <x v="1"/>
          </reference>
          <reference field="1" count="1" selected="0">
            <x v="10"/>
          </reference>
        </references>
      </pivotArea>
    </chartFormat>
    <chartFormat chart="5" format="56">
      <pivotArea type="data" outline="0" fieldPosition="0">
        <references count="2">
          <reference field="4294967294" count="1" selected="0">
            <x v="1"/>
          </reference>
          <reference field="1" count="1" selected="0">
            <x v="11"/>
          </reference>
        </references>
      </pivotArea>
    </chartFormat>
    <chartFormat chart="5" format="57">
      <pivotArea type="data" outline="0" fieldPosition="0">
        <references count="2">
          <reference field="4294967294" count="1" selected="0">
            <x v="1"/>
          </reference>
          <reference field="1" count="1" selected="0">
            <x v="12"/>
          </reference>
        </references>
      </pivotArea>
    </chartFormat>
    <chartFormat chart="3" format="2">
      <pivotArea type="data" outline="0" fieldPosition="0">
        <references count="2">
          <reference field="4294967294" count="1" selected="0">
            <x v="0"/>
          </reference>
          <reference field="1" count="1" selected="0">
            <x v="0"/>
          </reference>
        </references>
      </pivotArea>
    </chartFormat>
    <chartFormat chart="3" format="3">
      <pivotArea type="data" outline="0" fieldPosition="0">
        <references count="2">
          <reference field="4294967294" count="1" selected="0">
            <x v="0"/>
          </reference>
          <reference field="1" count="1" selected="0">
            <x v="1"/>
          </reference>
        </references>
      </pivotArea>
    </chartFormat>
    <chartFormat chart="3" format="4">
      <pivotArea type="data" outline="0" fieldPosition="0">
        <references count="2">
          <reference field="4294967294" count="1" selected="0">
            <x v="0"/>
          </reference>
          <reference field="1" count="1" selected="0">
            <x v="2"/>
          </reference>
        </references>
      </pivotArea>
    </chartFormat>
    <chartFormat chart="3" format="5">
      <pivotArea type="data" outline="0" fieldPosition="0">
        <references count="2">
          <reference field="4294967294" count="1" selected="0">
            <x v="0"/>
          </reference>
          <reference field="1" count="1" selected="0">
            <x v="3"/>
          </reference>
        </references>
      </pivotArea>
    </chartFormat>
    <chartFormat chart="3" format="6">
      <pivotArea type="data" outline="0" fieldPosition="0">
        <references count="2">
          <reference field="4294967294" count="1" selected="0">
            <x v="0"/>
          </reference>
          <reference field="1" count="1" selected="0">
            <x v="4"/>
          </reference>
        </references>
      </pivotArea>
    </chartFormat>
    <chartFormat chart="3" format="7">
      <pivotArea type="data" outline="0" fieldPosition="0">
        <references count="2">
          <reference field="4294967294" count="1" selected="0">
            <x v="0"/>
          </reference>
          <reference field="1" count="1" selected="0">
            <x v="5"/>
          </reference>
        </references>
      </pivotArea>
    </chartFormat>
    <chartFormat chart="3" format="8">
      <pivotArea type="data" outline="0" fieldPosition="0">
        <references count="2">
          <reference field="4294967294" count="1" selected="0">
            <x v="0"/>
          </reference>
          <reference field="1" count="1" selected="0">
            <x v="6"/>
          </reference>
        </references>
      </pivotArea>
    </chartFormat>
    <chartFormat chart="3" format="9">
      <pivotArea type="data" outline="0" fieldPosition="0">
        <references count="2">
          <reference field="4294967294" count="1" selected="0">
            <x v="0"/>
          </reference>
          <reference field="1" count="1" selected="0">
            <x v="7"/>
          </reference>
        </references>
      </pivotArea>
    </chartFormat>
    <chartFormat chart="3" format="10">
      <pivotArea type="data" outline="0" fieldPosition="0">
        <references count="2">
          <reference field="4294967294" count="1" selected="0">
            <x v="0"/>
          </reference>
          <reference field="1" count="1" selected="0">
            <x v="8"/>
          </reference>
        </references>
      </pivotArea>
    </chartFormat>
    <chartFormat chart="3" format="11">
      <pivotArea type="data" outline="0" fieldPosition="0">
        <references count="2">
          <reference field="4294967294" count="1" selected="0">
            <x v="0"/>
          </reference>
          <reference field="1" count="1" selected="0">
            <x v="9"/>
          </reference>
        </references>
      </pivotArea>
    </chartFormat>
    <chartFormat chart="3" format="12">
      <pivotArea type="data" outline="0" fieldPosition="0">
        <references count="2">
          <reference field="4294967294" count="1" selected="0">
            <x v="0"/>
          </reference>
          <reference field="1" count="1" selected="0">
            <x v="10"/>
          </reference>
        </references>
      </pivotArea>
    </chartFormat>
    <chartFormat chart="3" format="13">
      <pivotArea type="data" outline="0" fieldPosition="0">
        <references count="2">
          <reference field="4294967294" count="1" selected="0">
            <x v="0"/>
          </reference>
          <reference field="1" count="1" selected="0">
            <x v="11"/>
          </reference>
        </references>
      </pivotArea>
    </chartFormat>
    <chartFormat chart="3" format="14">
      <pivotArea type="data" outline="0" fieldPosition="0">
        <references count="2">
          <reference field="4294967294" count="1" selected="0">
            <x v="0"/>
          </reference>
          <reference field="1" count="1" selected="0">
            <x v="12"/>
          </reference>
        </references>
      </pivotArea>
    </chartFormat>
    <chartFormat chart="3" format="15">
      <pivotArea type="data" outline="0" fieldPosition="0">
        <references count="2">
          <reference field="4294967294" count="1" selected="0">
            <x v="1"/>
          </reference>
          <reference field="1" count="1" selected="0">
            <x v="0"/>
          </reference>
        </references>
      </pivotArea>
    </chartFormat>
    <chartFormat chart="3" format="16">
      <pivotArea type="data" outline="0" fieldPosition="0">
        <references count="2">
          <reference field="4294967294" count="1" selected="0">
            <x v="1"/>
          </reference>
          <reference field="1" count="1" selected="0">
            <x v="1"/>
          </reference>
        </references>
      </pivotArea>
    </chartFormat>
    <chartFormat chart="3" format="17">
      <pivotArea type="data" outline="0" fieldPosition="0">
        <references count="2">
          <reference field="4294967294" count="1" selected="0">
            <x v="1"/>
          </reference>
          <reference field="1" count="1" selected="0">
            <x v="2"/>
          </reference>
        </references>
      </pivotArea>
    </chartFormat>
    <chartFormat chart="3" format="18">
      <pivotArea type="data" outline="0" fieldPosition="0">
        <references count="2">
          <reference field="4294967294" count="1" selected="0">
            <x v="1"/>
          </reference>
          <reference field="1" count="1" selected="0">
            <x v="3"/>
          </reference>
        </references>
      </pivotArea>
    </chartFormat>
    <chartFormat chart="3" format="19">
      <pivotArea type="data" outline="0" fieldPosition="0">
        <references count="2">
          <reference field="4294967294" count="1" selected="0">
            <x v="1"/>
          </reference>
          <reference field="1" count="1" selected="0">
            <x v="4"/>
          </reference>
        </references>
      </pivotArea>
    </chartFormat>
    <chartFormat chart="3" format="20">
      <pivotArea type="data" outline="0" fieldPosition="0">
        <references count="2">
          <reference field="4294967294" count="1" selected="0">
            <x v="1"/>
          </reference>
          <reference field="1" count="1" selected="0">
            <x v="5"/>
          </reference>
        </references>
      </pivotArea>
    </chartFormat>
    <chartFormat chart="3" format="21">
      <pivotArea type="data" outline="0" fieldPosition="0">
        <references count="2">
          <reference field="4294967294" count="1" selected="0">
            <x v="1"/>
          </reference>
          <reference field="1" count="1" selected="0">
            <x v="6"/>
          </reference>
        </references>
      </pivotArea>
    </chartFormat>
    <chartFormat chart="3" format="22">
      <pivotArea type="data" outline="0" fieldPosition="0">
        <references count="2">
          <reference field="4294967294" count="1" selected="0">
            <x v="1"/>
          </reference>
          <reference field="1" count="1" selected="0">
            <x v="7"/>
          </reference>
        </references>
      </pivotArea>
    </chartFormat>
    <chartFormat chart="3" format="23">
      <pivotArea type="data" outline="0" fieldPosition="0">
        <references count="2">
          <reference field="4294967294" count="1" selected="0">
            <x v="1"/>
          </reference>
          <reference field="1" count="1" selected="0">
            <x v="8"/>
          </reference>
        </references>
      </pivotArea>
    </chartFormat>
    <chartFormat chart="3" format="24">
      <pivotArea type="data" outline="0" fieldPosition="0">
        <references count="2">
          <reference field="4294967294" count="1" selected="0">
            <x v="1"/>
          </reference>
          <reference field="1" count="1" selected="0">
            <x v="9"/>
          </reference>
        </references>
      </pivotArea>
    </chartFormat>
    <chartFormat chart="3" format="25">
      <pivotArea type="data" outline="0" fieldPosition="0">
        <references count="2">
          <reference field="4294967294" count="1" selected="0">
            <x v="1"/>
          </reference>
          <reference field="1" count="1" selected="0">
            <x v="10"/>
          </reference>
        </references>
      </pivotArea>
    </chartFormat>
    <chartFormat chart="3" format="26">
      <pivotArea type="data" outline="0" fieldPosition="0">
        <references count="2">
          <reference field="4294967294" count="1" selected="0">
            <x v="1"/>
          </reference>
          <reference field="1" count="1" selected="0">
            <x v="11"/>
          </reference>
        </references>
      </pivotArea>
    </chartFormat>
    <chartFormat chart="3" format="27">
      <pivotArea type="data" outline="0" fieldPosition="0">
        <references count="2">
          <reference field="4294967294" count="1" selected="0">
            <x v="1"/>
          </reference>
          <reference field="1" count="1" selected="0">
            <x v="1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12FBAB-8CD8-4E26-B319-2B91990B7AA5}"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C2:D32" firstHeaderRow="1" firstDataRow="1" firstDataCol="1"/>
  <pivotFields count="11">
    <pivotField axis="axisRow"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dataField="1" showAll="0"/>
    <pivotField showAll="0"/>
    <pivotField showAll="0"/>
    <pivotField showAll="0" defaultSubtotal="0">
      <items count="14">
        <item h="1" sd="0" x="0"/>
        <item h="1" sd="0" x="1"/>
        <item h="1" sd="0" x="2"/>
        <item h="1" sd="0" x="3"/>
        <item h="1" sd="0" x="4"/>
        <item sd="0" x="5"/>
        <item h="1" sd="0" x="6"/>
        <item h="1" sd="0" x="7"/>
        <item h="1" sd="0" x="8"/>
        <item h="1" sd="0" x="9"/>
        <item h="1" sd="0" x="10"/>
        <item h="1" sd="0" x="11"/>
        <item h="1" sd="0" x="12"/>
        <item h="1" sd="0" x="13"/>
      </items>
    </pivotField>
  </pivotFields>
  <rowFields count="1">
    <field x="0"/>
  </rowFields>
  <rowItems count="30">
    <i>
      <x v="122"/>
    </i>
    <i>
      <x v="123"/>
    </i>
    <i>
      <x v="124"/>
    </i>
    <i>
      <x v="125"/>
    </i>
    <i>
      <x v="126"/>
    </i>
    <i>
      <x v="127"/>
    </i>
    <i>
      <x v="128"/>
    </i>
    <i>
      <x v="129"/>
    </i>
    <i>
      <x v="130"/>
    </i>
    <i>
      <x v="131"/>
    </i>
    <i>
      <x v="133"/>
    </i>
    <i>
      <x v="134"/>
    </i>
    <i>
      <x v="135"/>
    </i>
    <i>
      <x v="136"/>
    </i>
    <i>
      <x v="137"/>
    </i>
    <i>
      <x v="138"/>
    </i>
    <i>
      <x v="139"/>
    </i>
    <i>
      <x v="140"/>
    </i>
    <i>
      <x v="141"/>
    </i>
    <i>
      <x v="142"/>
    </i>
    <i>
      <x v="143"/>
    </i>
    <i>
      <x v="144"/>
    </i>
    <i>
      <x v="145"/>
    </i>
    <i>
      <x v="147"/>
    </i>
    <i>
      <x v="148"/>
    </i>
    <i>
      <x v="149"/>
    </i>
    <i>
      <x v="150"/>
    </i>
    <i>
      <x v="151"/>
    </i>
    <i>
      <x v="152"/>
    </i>
    <i t="grand">
      <x/>
    </i>
  </rowItems>
  <colItems count="1">
    <i/>
  </colItems>
  <dataFields count="1">
    <dataField name="Sum of Total Sales" fld="7"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5FC290D-AC19-41F6-B4BA-118150B6D15D}"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R42:T116" firstHeaderRow="0" firstDataRow="1" firstDataCol="1"/>
  <pivotFields count="11">
    <pivotField numFmtId="14" showAll="0"/>
    <pivotField axis="axisRow" showAll="0">
      <items count="14">
        <item x="0"/>
        <item x="5"/>
        <item x="7"/>
        <item x="11"/>
        <item x="1"/>
        <item x="4"/>
        <item x="12"/>
        <item x="10"/>
        <item x="9"/>
        <item x="2"/>
        <item x="3"/>
        <item x="8"/>
        <item x="6"/>
        <item t="default"/>
      </items>
    </pivotField>
    <pivotField axis="axisRow" showAll="0">
      <items count="61">
        <item x="38"/>
        <item x="14"/>
        <item x="11"/>
        <item x="30"/>
        <item x="34"/>
        <item x="40"/>
        <item x="15"/>
        <item x="17"/>
        <item x="7"/>
        <item x="35"/>
        <item x="43"/>
        <item x="16"/>
        <item x="47"/>
        <item x="51"/>
        <item x="32"/>
        <item x="3"/>
        <item x="46"/>
        <item x="31"/>
        <item x="22"/>
        <item x="41"/>
        <item x="20"/>
        <item x="0"/>
        <item x="5"/>
        <item x="23"/>
        <item x="58"/>
        <item x="42"/>
        <item x="27"/>
        <item x="54"/>
        <item x="10"/>
        <item x="45"/>
        <item x="2"/>
        <item x="19"/>
        <item x="21"/>
        <item x="48"/>
        <item x="57"/>
        <item x="33"/>
        <item x="50"/>
        <item x="18"/>
        <item x="55"/>
        <item x="26"/>
        <item x="36"/>
        <item x="29"/>
        <item x="49"/>
        <item x="52"/>
        <item x="28"/>
        <item x="12"/>
        <item x="8"/>
        <item x="37"/>
        <item x="1"/>
        <item x="24"/>
        <item x="44"/>
        <item x="59"/>
        <item x="13"/>
        <item x="53"/>
        <item x="56"/>
        <item x="6"/>
        <item x="25"/>
        <item x="9"/>
        <item x="39"/>
        <item x="4"/>
        <item t="default"/>
      </items>
    </pivotField>
    <pivotField showAll="0"/>
    <pivotField showAll="0"/>
    <pivotField showAll="0"/>
    <pivotField dataField="1" showAll="0">
      <items count="11">
        <item x="4"/>
        <item x="2"/>
        <item x="3"/>
        <item x="1"/>
        <item x="0"/>
        <item x="7"/>
        <item x="6"/>
        <item x="5"/>
        <item x="8"/>
        <item x="9"/>
        <item t="default"/>
      </items>
    </pivotField>
    <pivotField dataField="1" showAll="0"/>
    <pivotField showAll="0"/>
    <pivotField showAll="0"/>
    <pivotField showAll="0" defaultSubtotal="0">
      <items count="14">
        <item x="0"/>
        <item x="1"/>
        <item x="2"/>
        <item x="3"/>
        <item x="4"/>
        <item x="5"/>
        <item x="6"/>
        <item x="7"/>
        <item x="8"/>
        <item x="9"/>
        <item x="10"/>
        <item x="11"/>
        <item x="12"/>
        <item x="13"/>
      </items>
    </pivotField>
  </pivotFields>
  <rowFields count="2">
    <field x="1"/>
    <field x="2"/>
  </rowFields>
  <rowItems count="74">
    <i>
      <x/>
    </i>
    <i r="1">
      <x v="1"/>
    </i>
    <i r="1">
      <x v="6"/>
    </i>
    <i r="1">
      <x v="11"/>
    </i>
    <i r="1">
      <x v="21"/>
    </i>
    <i r="1">
      <x v="28"/>
    </i>
    <i r="1">
      <x v="37"/>
    </i>
    <i r="1">
      <x v="39"/>
    </i>
    <i r="1">
      <x v="40"/>
    </i>
    <i r="1">
      <x v="47"/>
    </i>
    <i r="1">
      <x v="49"/>
    </i>
    <i r="1">
      <x v="54"/>
    </i>
    <i r="1">
      <x v="58"/>
    </i>
    <i>
      <x v="1"/>
    </i>
    <i r="1">
      <x v="5"/>
    </i>
    <i r="1">
      <x v="17"/>
    </i>
    <i r="1">
      <x v="22"/>
    </i>
    <i r="1">
      <x v="41"/>
    </i>
    <i r="1">
      <x v="53"/>
    </i>
    <i>
      <x v="2"/>
    </i>
    <i r="1">
      <x v="19"/>
    </i>
    <i r="1">
      <x v="27"/>
    </i>
    <i r="1">
      <x v="38"/>
    </i>
    <i r="1">
      <x v="45"/>
    </i>
    <i>
      <x v="3"/>
    </i>
    <i r="1">
      <x v="18"/>
    </i>
    <i r="1">
      <x v="23"/>
    </i>
    <i r="1">
      <x v="35"/>
    </i>
    <i>
      <x v="4"/>
    </i>
    <i r="1">
      <x/>
    </i>
    <i r="1">
      <x v="2"/>
    </i>
    <i r="1">
      <x v="7"/>
    </i>
    <i r="1">
      <x v="34"/>
    </i>
    <i r="1">
      <x v="48"/>
    </i>
    <i r="1">
      <x v="57"/>
    </i>
    <i>
      <x v="5"/>
    </i>
    <i r="1">
      <x v="3"/>
    </i>
    <i r="1">
      <x v="16"/>
    </i>
    <i r="1">
      <x v="26"/>
    </i>
    <i r="1">
      <x v="55"/>
    </i>
    <i r="1">
      <x v="59"/>
    </i>
    <i>
      <x v="6"/>
    </i>
    <i r="1">
      <x v="12"/>
    </i>
    <i r="1">
      <x v="13"/>
    </i>
    <i r="1">
      <x v="33"/>
    </i>
    <i r="1">
      <x v="51"/>
    </i>
    <i r="1">
      <x v="56"/>
    </i>
    <i>
      <x v="7"/>
    </i>
    <i r="1">
      <x v="4"/>
    </i>
    <i r="1">
      <x v="20"/>
    </i>
    <i r="1">
      <x v="32"/>
    </i>
    <i>
      <x v="8"/>
    </i>
    <i r="1">
      <x v="31"/>
    </i>
    <i r="1">
      <x v="50"/>
    </i>
    <i>
      <x v="9"/>
    </i>
    <i r="1">
      <x v="29"/>
    </i>
    <i r="1">
      <x v="30"/>
    </i>
    <i r="1">
      <x v="42"/>
    </i>
    <i r="1">
      <x v="43"/>
    </i>
    <i>
      <x v="10"/>
    </i>
    <i r="1">
      <x v="10"/>
    </i>
    <i r="1">
      <x v="15"/>
    </i>
    <i r="1">
      <x v="24"/>
    </i>
    <i r="1">
      <x v="46"/>
    </i>
    <i>
      <x v="11"/>
    </i>
    <i r="1">
      <x v="25"/>
    </i>
    <i r="1">
      <x v="36"/>
    </i>
    <i r="1">
      <x v="52"/>
    </i>
    <i>
      <x v="12"/>
    </i>
    <i r="1">
      <x v="8"/>
    </i>
    <i r="1">
      <x v="9"/>
    </i>
    <i r="1">
      <x v="14"/>
    </i>
    <i r="1">
      <x v="44"/>
    </i>
    <i t="grand">
      <x/>
    </i>
  </rowItems>
  <colFields count="1">
    <field x="-2"/>
  </colFields>
  <colItems count="2">
    <i>
      <x/>
    </i>
    <i i="1">
      <x v="1"/>
    </i>
  </colItems>
  <dataFields count="2">
    <dataField name="Sum of Quantity" fld="6" baseField="0" baseItem="0"/>
    <dataField name="Sum of Total Sales" fld="7"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2B7A56F-EBE0-43B4-A8B2-720CB51CDB90}"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R20:V36" firstHeaderRow="1" firstDataRow="3" firstDataCol="1"/>
  <pivotFields count="11">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14">
        <item x="0"/>
        <item x="5"/>
        <item x="7"/>
        <item x="11"/>
        <item x="1"/>
        <item x="4"/>
        <item x="12"/>
        <item x="10"/>
        <item x="9"/>
        <item x="2"/>
        <item x="3"/>
        <item x="8"/>
        <item x="6"/>
        <item t="default"/>
      </items>
    </pivotField>
    <pivotField showAll="0"/>
    <pivotField showAll="0"/>
    <pivotField showAll="0"/>
    <pivotField showAll="0"/>
    <pivotField showAll="0">
      <items count="11">
        <item x="4"/>
        <item x="2"/>
        <item x="3"/>
        <item x="1"/>
        <item x="0"/>
        <item x="7"/>
        <item x="6"/>
        <item x="5"/>
        <item x="8"/>
        <item x="9"/>
        <item t="default"/>
      </items>
    </pivotField>
    <pivotField dataField="1" showAll="0"/>
    <pivotField dataField="1" showAll="0"/>
    <pivotField showAll="0"/>
    <pivotField axis="axisCol" multipleItemSelectionAllowed="1" showAll="0" defaultSubtotal="0">
      <items count="14">
        <item h="1" sd="0" x="0"/>
        <item h="1" sd="0" x="1"/>
        <item h="1" sd="0" x="2"/>
        <item h="1" sd="0" x="3"/>
        <item h="1" sd="0" x="4"/>
        <item sd="0" x="5"/>
        <item h="1" sd="0" x="6"/>
        <item h="1" sd="0" x="7"/>
        <item h="1" sd="0" x="8"/>
        <item h="1" sd="0" x="9"/>
        <item h="1" sd="0" x="10"/>
        <item h="1" sd="0" x="11"/>
        <item h="1" sd="0" x="12"/>
        <item h="1" sd="0" x="13"/>
      </items>
    </pivotField>
  </pivotFields>
  <rowFields count="1">
    <field x="1"/>
  </rowFields>
  <rowItems count="14">
    <i>
      <x/>
    </i>
    <i>
      <x v="1"/>
    </i>
    <i>
      <x v="2"/>
    </i>
    <i>
      <x v="3"/>
    </i>
    <i>
      <x v="4"/>
    </i>
    <i>
      <x v="5"/>
    </i>
    <i>
      <x v="6"/>
    </i>
    <i>
      <x v="7"/>
    </i>
    <i>
      <x v="8"/>
    </i>
    <i>
      <x v="9"/>
    </i>
    <i>
      <x v="10"/>
    </i>
    <i>
      <x v="11"/>
    </i>
    <i>
      <x v="12"/>
    </i>
    <i t="grand">
      <x/>
    </i>
  </rowItems>
  <colFields count="2">
    <field x="-2"/>
    <field x="10"/>
  </colFields>
  <colItems count="4">
    <i>
      <x/>
      <x v="5"/>
    </i>
    <i i="1">
      <x v="1"/>
      <x v="5"/>
    </i>
    <i t="grand">
      <x/>
    </i>
    <i t="grand" i="1">
      <x/>
    </i>
  </colItems>
  <dataFields count="2">
    <dataField name="Sum of Total Sales" fld="7" baseField="0" baseItem="0"/>
    <dataField name="Sum of Total Revenue" fld="8" baseField="0" baseItem="0"/>
  </dataFields>
  <formats count="2">
    <format dxfId="115">
      <pivotArea outline="0" collapsedLevelsAreSubtotals="1" fieldPosition="0"/>
    </format>
    <format dxfId="114">
      <pivotArea dataOnly="0" labelOnly="1" outline="0" axis="axisValues" fieldPosition="0"/>
    </format>
  </formats>
  <chartFormats count="6">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0AEA4C0E-2156-443A-8B0C-3C77AAEBC807}" sourceName="Months">
  <pivotTables>
    <pivotTable tabId="3" name="PivotTable2"/>
    <pivotTable tabId="3" name="PivotTable3"/>
    <pivotTable tabId="3" name="PivotTable4"/>
    <pivotTable tabId="3" name="PivotTable9"/>
    <pivotTable tabId="4" name="PivotTable13"/>
    <pivotTable tabId="4" name="PivotTable16"/>
  </pivotTables>
  <data>
    <tabular pivotCacheId="1429023462">
      <items count="14">
        <i x="3"/>
        <i x="4"/>
        <i x="5" s="1"/>
        <i x="6"/>
        <i x="7"/>
        <i x="1" nd="1"/>
        <i x="2" nd="1"/>
        <i x="8" nd="1"/>
        <i x="9" nd="1"/>
        <i x="10" nd="1"/>
        <i x="11" nd="1"/>
        <i x="12" nd="1"/>
        <i x="0" nd="1"/>
        <i x="13"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1" xr10:uid="{49DC7408-BA84-48A6-80B0-C60BD91F6416}" cache="Slicer_Months" caption="Months" rowHeight="4572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050FBFF3-9705-4502-96CD-CCAFDC704DAD}" cache="Slicer_Months" caption="Months"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7E9AF4-B43C-458C-A82E-959415D2759E}" name="Sales_data" displayName="Sales_data" ref="A1:K378">
  <autoFilter ref="A1:K378" xr:uid="{59A7A76D-DAEF-4231-8F93-34648C0CB60C}"/>
  <tableColumns count="11">
    <tableColumn id="1" xr3:uid="{1C5BA12B-AB03-44A1-8420-9F7C7B30018A}" name="Date"/>
    <tableColumn id="2" xr3:uid="{5518635E-1AD7-4FC8-A3AB-5BB2EDA9CAD8}" name="Category"/>
    <tableColumn id="3" xr3:uid="{C6D1F16A-DE83-472F-9081-585A3945A650}" name="Brand of Product"/>
    <tableColumn id="4" xr3:uid="{BC61464D-C439-4CD9-B782-B07FB7AC2D25}" name="Base Price (PHP)" dataDxfId="123"/>
    <tableColumn id="5" xr3:uid="{8C3B5D33-655B-4843-B460-13D4C2AADE42}" name="Selling Price (PHP)" dataDxfId="122"/>
    <tableColumn id="10" xr3:uid="{D17437DD-8724-4938-AE69-133B8774E216}" name="Revenue" dataDxfId="121">
      <calculatedColumnFormula>Sales_data[[#This Row],[Selling Price (PHP)]]-Sales_data[[#This Row],[Base Price (PHP)]]</calculatedColumnFormula>
    </tableColumn>
    <tableColumn id="6" xr3:uid="{2588C747-3DB2-4F6A-96DA-EDD9661B6085}" name="Quantity" dataDxfId="120"/>
    <tableColumn id="12" xr3:uid="{438AA60D-B49F-4AC9-A1C9-1D7F9C19D64C}" name="COST" dataDxfId="119">
      <calculatedColumnFormula>Sales_data[[#This Row],[Quantity]]*Sales_data[[#This Row],[Base Price (PHP)]]</calculatedColumnFormula>
    </tableColumn>
    <tableColumn id="8" xr3:uid="{E430E39F-1C78-4E0F-B918-89DD5A913EB3}" name="Total Sales" dataDxfId="118">
      <calculatedColumnFormula>Sales_data[[#This Row],[Selling Price (PHP)]]*Sales_data[[#This Row],[Quantity]]</calculatedColumnFormula>
    </tableColumn>
    <tableColumn id="9" xr3:uid="{EE4F20C3-110B-4053-AF36-BF86A8ECA008}" name="Total Revenue" dataDxfId="117">
      <calculatedColumnFormula>Sales_data[[#This Row],[Revenue]]*Sales_data[[#This Row],[Quantity]]</calculatedColumnFormula>
    </tableColumn>
    <tableColumn id="7" xr3:uid="{5ABFDC95-062D-4BB8-969B-67732D32672D}" name="Order Number" dataDxfId="116"/>
  </tableColumns>
  <tableStyleInfo name="sales_data-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G378">
  <tableColumns count="7">
    <tableColumn id="1" xr3:uid="{00000000-0010-0000-0000-000001000000}" name="Date"/>
    <tableColumn id="2" xr3:uid="{00000000-0010-0000-0000-000002000000}" name="Category"/>
    <tableColumn id="3" xr3:uid="{00000000-0010-0000-0000-000003000000}" name="Brand of Product"/>
    <tableColumn id="4" xr3:uid="{00000000-0010-0000-0000-000004000000}" name="Base Price (PHP)"/>
    <tableColumn id="5" xr3:uid="{00000000-0010-0000-0000-000005000000}" name="Selling Price (PHP)"/>
    <tableColumn id="6" xr3:uid="{00000000-0010-0000-0000-000006000000}" name="Quantity"/>
    <tableColumn id="7" xr3:uid="{00000000-0010-0000-0000-000007000000}" name="Order Number"/>
  </tableColumns>
  <tableStyleInfo name="sales_data-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7" Type="http://schemas.microsoft.com/office/2007/relationships/slicer" Target="../slicers/slicer2.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2.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ED12E6-2320-40E0-8D7D-432F617A7A62}">
  <dimension ref="M33:X64"/>
  <sheetViews>
    <sheetView zoomScale="50" zoomScaleNormal="50" workbookViewId="0">
      <selection activeCell="AD39" sqref="AD39"/>
    </sheetView>
  </sheetViews>
  <sheetFormatPr defaultRowHeight="15.75" x14ac:dyDescent="0.25"/>
  <cols>
    <col min="1" max="12" width="9" style="41"/>
    <col min="13" max="13" width="21.5" style="41" bestFit="1" customWidth="1"/>
    <col min="14" max="14" width="14.625" style="41" bestFit="1" customWidth="1"/>
    <col min="15" max="15" width="16.375" style="41" bestFit="1" customWidth="1"/>
    <col min="16" max="17" width="9" style="41"/>
    <col min="18" max="18" width="23.375" style="41" bestFit="1" customWidth="1"/>
    <col min="19" max="19" width="20.375" style="41" bestFit="1" customWidth="1"/>
    <col min="20" max="20" width="23.875" style="41" bestFit="1" customWidth="1"/>
    <col min="21" max="21" width="7" style="41" customWidth="1"/>
    <col min="22" max="22" width="19.125" style="41" bestFit="1" customWidth="1"/>
    <col min="23" max="23" width="23.875" style="41" bestFit="1" customWidth="1"/>
    <col min="24" max="24" width="27.125" style="41" bestFit="1" customWidth="1"/>
    <col min="25" max="16384" width="9" style="41"/>
  </cols>
  <sheetData>
    <row r="33" spans="13:24" ht="16.5" thickBot="1" x14ac:dyDescent="0.3"/>
    <row r="34" spans="13:24" ht="16.5" thickBot="1" x14ac:dyDescent="0.3">
      <c r="R34" s="54" t="s">
        <v>460</v>
      </c>
      <c r="S34" s="57" t="s">
        <v>464</v>
      </c>
      <c r="T34" s="58" t="s">
        <v>462</v>
      </c>
      <c r="V34" s="54" t="s">
        <v>460</v>
      </c>
      <c r="W34" s="55" t="s">
        <v>462</v>
      </c>
      <c r="X34" s="56" t="s">
        <v>465</v>
      </c>
    </row>
    <row r="35" spans="13:24" x14ac:dyDescent="0.25">
      <c r="R35" s="42" t="s">
        <v>7</v>
      </c>
      <c r="S35" s="43">
        <v>92</v>
      </c>
      <c r="T35" s="44">
        <v>1450</v>
      </c>
      <c r="U35" s="45"/>
      <c r="V35" s="66" t="s">
        <v>473</v>
      </c>
      <c r="W35" s="43">
        <v>144</v>
      </c>
      <c r="X35" s="44">
        <v>33.36</v>
      </c>
    </row>
    <row r="36" spans="13:24" x14ac:dyDescent="0.25">
      <c r="R36" s="46" t="s">
        <v>24</v>
      </c>
      <c r="S36" s="47">
        <v>30</v>
      </c>
      <c r="T36" s="48">
        <v>396</v>
      </c>
      <c r="U36" s="45"/>
      <c r="V36" s="67" t="s">
        <v>474</v>
      </c>
      <c r="W36" s="47">
        <v>40</v>
      </c>
      <c r="X36" s="48">
        <v>7.6599999999999966</v>
      </c>
    </row>
    <row r="37" spans="13:24" x14ac:dyDescent="0.25">
      <c r="R37" s="46" t="s">
        <v>45</v>
      </c>
      <c r="S37" s="47">
        <v>15</v>
      </c>
      <c r="T37" s="48">
        <v>303</v>
      </c>
      <c r="U37" s="45"/>
      <c r="V37" s="67" t="s">
        <v>475</v>
      </c>
      <c r="W37" s="47">
        <v>60</v>
      </c>
      <c r="X37" s="48">
        <v>11.489999999999995</v>
      </c>
    </row>
    <row r="38" spans="13:24" x14ac:dyDescent="0.25">
      <c r="R38" s="46" t="s">
        <v>81</v>
      </c>
      <c r="S38" s="47">
        <v>16</v>
      </c>
      <c r="T38" s="48">
        <v>78</v>
      </c>
      <c r="U38" s="45"/>
      <c r="V38" s="67" t="s">
        <v>476</v>
      </c>
      <c r="W38" s="47">
        <v>56</v>
      </c>
      <c r="X38" s="48">
        <v>15</v>
      </c>
    </row>
    <row r="39" spans="13:24" x14ac:dyDescent="0.25">
      <c r="R39" s="46" t="s">
        <v>10</v>
      </c>
      <c r="S39" s="47">
        <v>34</v>
      </c>
      <c r="T39" s="48">
        <v>1181</v>
      </c>
      <c r="U39" s="45"/>
      <c r="V39" s="67" t="s">
        <v>477</v>
      </c>
      <c r="W39" s="47">
        <v>664</v>
      </c>
      <c r="X39" s="48">
        <v>102.02000000000001</v>
      </c>
    </row>
    <row r="40" spans="13:24" x14ac:dyDescent="0.25">
      <c r="R40" s="46" t="s">
        <v>21</v>
      </c>
      <c r="S40" s="47">
        <v>22</v>
      </c>
      <c r="T40" s="48">
        <v>421</v>
      </c>
      <c r="U40" s="45"/>
      <c r="V40" s="67" t="s">
        <v>478</v>
      </c>
      <c r="W40" s="47">
        <v>150</v>
      </c>
      <c r="X40" s="48">
        <v>42</v>
      </c>
    </row>
    <row r="41" spans="13:24" x14ac:dyDescent="0.25">
      <c r="R41" s="46" t="s">
        <v>91</v>
      </c>
      <c r="S41" s="47">
        <v>22</v>
      </c>
      <c r="T41" s="48">
        <v>575</v>
      </c>
      <c r="U41" s="45"/>
      <c r="V41" s="67" t="s">
        <v>479</v>
      </c>
      <c r="W41" s="47">
        <v>109</v>
      </c>
      <c r="X41" s="48">
        <v>27.159999999999997</v>
      </c>
    </row>
    <row r="42" spans="13:24" x14ac:dyDescent="0.25">
      <c r="R42" s="46" t="s">
        <v>74</v>
      </c>
      <c r="S42" s="47">
        <v>16</v>
      </c>
      <c r="T42" s="48">
        <v>707</v>
      </c>
      <c r="U42" s="45"/>
      <c r="V42" s="67" t="s">
        <v>480</v>
      </c>
      <c r="W42" s="47">
        <v>756</v>
      </c>
      <c r="X42" s="48">
        <v>168.28</v>
      </c>
    </row>
    <row r="43" spans="13:24" x14ac:dyDescent="0.25">
      <c r="R43" s="46" t="s">
        <v>71</v>
      </c>
      <c r="S43" s="47">
        <v>16</v>
      </c>
      <c r="T43" s="48">
        <v>649</v>
      </c>
      <c r="U43" s="45"/>
      <c r="V43" s="67" t="s">
        <v>481</v>
      </c>
      <c r="W43" s="47">
        <v>207</v>
      </c>
      <c r="X43" s="48">
        <v>40.5</v>
      </c>
    </row>
    <row r="44" spans="13:24" x14ac:dyDescent="0.25">
      <c r="R44" s="46" t="s">
        <v>14</v>
      </c>
      <c r="S44" s="47">
        <v>38</v>
      </c>
      <c r="T44" s="48">
        <v>704</v>
      </c>
      <c r="U44" s="45"/>
      <c r="V44" s="67" t="s">
        <v>482</v>
      </c>
      <c r="W44" s="47">
        <v>491</v>
      </c>
      <c r="X44" s="48">
        <v>128.25</v>
      </c>
    </row>
    <row r="45" spans="13:24" x14ac:dyDescent="0.25">
      <c r="M45" s="45"/>
      <c r="N45" s="45"/>
      <c r="O45" s="45"/>
      <c r="R45" s="46" t="s">
        <v>18</v>
      </c>
      <c r="S45" s="47">
        <v>36</v>
      </c>
      <c r="T45" s="48">
        <v>756</v>
      </c>
      <c r="U45" s="45"/>
      <c r="V45" s="67" t="s">
        <v>483</v>
      </c>
      <c r="W45" s="47">
        <v>348</v>
      </c>
      <c r="X45" s="48">
        <v>72</v>
      </c>
    </row>
    <row r="46" spans="13:24" x14ac:dyDescent="0.25">
      <c r="M46" s="45"/>
      <c r="N46" s="45"/>
      <c r="O46" s="45"/>
      <c r="R46" s="46" t="s">
        <v>48</v>
      </c>
      <c r="S46" s="47">
        <v>28</v>
      </c>
      <c r="T46" s="48">
        <v>1191</v>
      </c>
      <c r="U46" s="45"/>
      <c r="V46" s="67" t="s">
        <v>484</v>
      </c>
      <c r="W46" s="47">
        <v>189</v>
      </c>
      <c r="X46" s="48">
        <v>59.220000000000006</v>
      </c>
    </row>
    <row r="47" spans="13:24" ht="16.5" thickBot="1" x14ac:dyDescent="0.3">
      <c r="M47" s="45"/>
      <c r="N47" s="45"/>
      <c r="O47" s="45"/>
      <c r="R47" s="49" t="s">
        <v>30</v>
      </c>
      <c r="S47" s="47">
        <v>32</v>
      </c>
      <c r="T47" s="48">
        <v>751</v>
      </c>
      <c r="U47" s="45"/>
      <c r="V47" s="67" t="s">
        <v>485</v>
      </c>
      <c r="W47" s="47">
        <v>610</v>
      </c>
      <c r="X47" s="48">
        <v>126.59</v>
      </c>
    </row>
    <row r="48" spans="13:24" ht="16.5" thickBot="1" x14ac:dyDescent="0.3">
      <c r="M48" s="45"/>
      <c r="N48" s="45"/>
      <c r="O48" s="45"/>
      <c r="R48" s="50" t="s">
        <v>461</v>
      </c>
      <c r="S48" s="51">
        <v>397</v>
      </c>
      <c r="T48" s="52">
        <v>9162</v>
      </c>
      <c r="U48" s="45"/>
      <c r="V48" s="67" t="s">
        <v>486</v>
      </c>
      <c r="W48" s="47">
        <v>440</v>
      </c>
      <c r="X48" s="48">
        <v>109.75</v>
      </c>
    </row>
    <row r="49" spans="13:24" x14ac:dyDescent="0.25">
      <c r="M49" s="45"/>
      <c r="N49" s="45"/>
      <c r="O49" s="45"/>
      <c r="T49" s="45"/>
      <c r="U49" s="45"/>
      <c r="V49" s="67" t="s">
        <v>487</v>
      </c>
      <c r="W49" s="47">
        <v>120</v>
      </c>
      <c r="X49" s="48">
        <v>38</v>
      </c>
    </row>
    <row r="50" spans="13:24" x14ac:dyDescent="0.25">
      <c r="M50" s="45"/>
      <c r="N50" s="45"/>
      <c r="O50" s="45"/>
      <c r="V50" s="67" t="s">
        <v>488</v>
      </c>
      <c r="W50" s="47">
        <v>288</v>
      </c>
      <c r="X50" s="48">
        <v>86.97</v>
      </c>
    </row>
    <row r="51" spans="13:24" x14ac:dyDescent="0.25">
      <c r="M51" s="45"/>
      <c r="N51" s="45"/>
      <c r="O51" s="45"/>
      <c r="V51" s="67" t="s">
        <v>489</v>
      </c>
      <c r="W51" s="47">
        <v>485</v>
      </c>
      <c r="X51" s="48">
        <v>58.300000000000004</v>
      </c>
    </row>
    <row r="52" spans="13:24" x14ac:dyDescent="0.25">
      <c r="M52" s="45"/>
      <c r="N52" s="45"/>
      <c r="O52" s="45"/>
      <c r="V52" s="67" t="s">
        <v>490</v>
      </c>
      <c r="W52" s="47">
        <v>234</v>
      </c>
      <c r="X52" s="48">
        <v>72.739999999999995</v>
      </c>
    </row>
    <row r="53" spans="13:24" x14ac:dyDescent="0.25">
      <c r="M53" s="45"/>
      <c r="N53" s="45"/>
      <c r="O53" s="45"/>
      <c r="V53" s="67" t="s">
        <v>491</v>
      </c>
      <c r="W53" s="47">
        <v>36</v>
      </c>
      <c r="X53" s="48">
        <v>13.5</v>
      </c>
    </row>
    <row r="54" spans="13:24" x14ac:dyDescent="0.25">
      <c r="M54" s="45"/>
      <c r="N54" s="45"/>
      <c r="O54" s="45"/>
      <c r="V54" s="67" t="s">
        <v>492</v>
      </c>
      <c r="W54" s="47">
        <v>576</v>
      </c>
      <c r="X54" s="48">
        <v>112.41</v>
      </c>
    </row>
    <row r="55" spans="13:24" x14ac:dyDescent="0.25">
      <c r="M55" s="45"/>
      <c r="N55" s="45"/>
      <c r="O55" s="45"/>
      <c r="V55" s="67" t="s">
        <v>493</v>
      </c>
      <c r="W55" s="47">
        <v>285</v>
      </c>
      <c r="X55" s="48">
        <v>80.360000000000014</v>
      </c>
    </row>
    <row r="56" spans="13:24" x14ac:dyDescent="0.25">
      <c r="M56" s="45"/>
      <c r="N56" s="45"/>
      <c r="O56" s="45"/>
      <c r="V56" s="67" t="s">
        <v>494</v>
      </c>
      <c r="W56" s="47">
        <v>261</v>
      </c>
      <c r="X56" s="48">
        <v>63.030000000000008</v>
      </c>
    </row>
    <row r="57" spans="13:24" x14ac:dyDescent="0.25">
      <c r="M57" s="45"/>
      <c r="N57" s="45"/>
      <c r="O57" s="45"/>
      <c r="V57" s="67" t="s">
        <v>495</v>
      </c>
      <c r="W57" s="47">
        <v>276</v>
      </c>
      <c r="X57" s="48">
        <v>85.59</v>
      </c>
    </row>
    <row r="58" spans="13:24" x14ac:dyDescent="0.25">
      <c r="M58" s="45"/>
      <c r="N58" s="45"/>
      <c r="O58" s="45"/>
      <c r="V58" s="67" t="s">
        <v>496</v>
      </c>
      <c r="W58" s="47">
        <v>38</v>
      </c>
      <c r="X58" s="48">
        <v>9</v>
      </c>
    </row>
    <row r="59" spans="13:24" x14ac:dyDescent="0.25">
      <c r="M59" s="45"/>
      <c r="N59" s="45"/>
      <c r="O59" s="45"/>
      <c r="V59" s="67" t="s">
        <v>497</v>
      </c>
      <c r="W59" s="47">
        <v>779</v>
      </c>
      <c r="X59" s="48">
        <v>198.75</v>
      </c>
    </row>
    <row r="60" spans="13:24" x14ac:dyDescent="0.25">
      <c r="V60" s="67" t="s">
        <v>498</v>
      </c>
      <c r="W60" s="47">
        <v>401</v>
      </c>
      <c r="X60" s="48">
        <v>84</v>
      </c>
    </row>
    <row r="61" spans="13:24" x14ac:dyDescent="0.25">
      <c r="V61" s="67" t="s">
        <v>499</v>
      </c>
      <c r="W61" s="47">
        <v>442</v>
      </c>
      <c r="X61" s="48">
        <v>110.84000000000002</v>
      </c>
    </row>
    <row r="62" spans="13:24" x14ac:dyDescent="0.25">
      <c r="V62" s="67" t="s">
        <v>500</v>
      </c>
      <c r="W62" s="47">
        <v>200</v>
      </c>
      <c r="X62" s="48">
        <v>36.25</v>
      </c>
    </row>
    <row r="63" spans="13:24" ht="16.5" thickBot="1" x14ac:dyDescent="0.3">
      <c r="V63" s="68" t="s">
        <v>501</v>
      </c>
      <c r="W63" s="47">
        <v>477</v>
      </c>
      <c r="X63" s="48">
        <v>104.96999999999998</v>
      </c>
    </row>
    <row r="64" spans="13:24" ht="16.5" thickBot="1" x14ac:dyDescent="0.3">
      <c r="V64" s="53" t="s">
        <v>461</v>
      </c>
      <c r="W64" s="51">
        <v>9162</v>
      </c>
      <c r="X64" s="52">
        <v>2097.9899999999998</v>
      </c>
    </row>
  </sheetData>
  <conditionalFormatting pivot="1" sqref="S35:S47">
    <cfRule type="dataBar" priority="2">
      <dataBar>
        <cfvo type="min"/>
        <cfvo type="max"/>
        <color rgb="FF638EC6"/>
      </dataBar>
      <extLst>
        <ext xmlns:x14="http://schemas.microsoft.com/office/spreadsheetml/2009/9/main" uri="{B025F937-C7B1-47D3-B67F-A62EFF666E3E}">
          <x14:id>{CC014814-8667-4C4C-BC08-72E9017333BA}</x14:id>
        </ext>
      </extLst>
    </cfRule>
  </conditionalFormatting>
  <conditionalFormatting pivot="1" sqref="T35:T47">
    <cfRule type="dataBar" priority="1">
      <dataBar>
        <cfvo type="min"/>
        <cfvo type="max"/>
        <color rgb="FF63C384"/>
      </dataBar>
      <extLst>
        <ext xmlns:x14="http://schemas.microsoft.com/office/spreadsheetml/2009/9/main" uri="{B025F937-C7B1-47D3-B67F-A62EFF666E3E}">
          <x14:id>{D807D955-CC82-4D7C-9E5E-442DFA554360}</x14:id>
        </ext>
      </extLst>
    </cfRule>
  </conditionalFormatting>
  <pageMargins left="0.7" right="0.7" top="0.75" bottom="0.75" header="0.3" footer="0.3"/>
  <pageSetup orientation="portrait" r:id="rId3"/>
  <drawing r:id="rId4"/>
  <extLst>
    <ext xmlns:x14="http://schemas.microsoft.com/office/spreadsheetml/2009/9/main" uri="{78C0D931-6437-407d-A8EE-F0AAD7539E65}">
      <x14:conditionalFormattings>
        <x14:conditionalFormatting xmlns:xm="http://schemas.microsoft.com/office/excel/2006/main" pivot="1">
          <x14:cfRule type="dataBar" id="{CC014814-8667-4C4C-BC08-72E9017333BA}">
            <x14:dataBar minLength="0" maxLength="100" gradient="0">
              <x14:cfvo type="autoMin"/>
              <x14:cfvo type="autoMax"/>
              <x14:negativeFillColor rgb="FFFF0000"/>
              <x14:axisColor rgb="FF000000"/>
            </x14:dataBar>
          </x14:cfRule>
          <xm:sqref>S35:S47</xm:sqref>
        </x14:conditionalFormatting>
        <x14:conditionalFormatting xmlns:xm="http://schemas.microsoft.com/office/excel/2006/main" pivot="1">
          <x14:cfRule type="dataBar" id="{D807D955-CC82-4D7C-9E5E-442DFA554360}">
            <x14:dataBar minLength="0" maxLength="100" gradient="0">
              <x14:cfvo type="autoMin"/>
              <x14:cfvo type="autoMax"/>
              <x14:negativeFillColor rgb="FFFF0000"/>
              <x14:axisColor rgb="FF000000"/>
            </x14:dataBar>
          </x14:cfRule>
          <xm:sqref>T35:T47</xm:sqref>
        </x14:conditionalFormatting>
      </x14:conditionalFormattings>
    </ext>
    <ext xmlns:x14="http://schemas.microsoft.com/office/spreadsheetml/2009/9/main" uri="{A8765BA9-456A-4dab-B4F3-ACF838C121DE}">
      <x14:slicerList>
        <x14:slicer r:id="rId5"/>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185DEB-ED48-487B-9196-7128B756D6DC}">
  <dimension ref="A1:N378"/>
  <sheetViews>
    <sheetView tabSelected="1" topLeftCell="A349" workbookViewId="0">
      <selection activeCell="A378" sqref="A378:XFD378"/>
    </sheetView>
  </sheetViews>
  <sheetFormatPr defaultRowHeight="15.75" x14ac:dyDescent="0.25"/>
  <cols>
    <col min="1" max="1" width="9.375" bestFit="1" customWidth="1"/>
    <col min="2" max="2" width="20.375" bestFit="1" customWidth="1"/>
    <col min="3" max="3" width="21.625" bestFit="1" customWidth="1"/>
    <col min="4" max="4" width="14.5" style="5" bestFit="1" customWidth="1"/>
    <col min="5" max="5" width="15.875" style="5" bestFit="1" customWidth="1"/>
    <col min="6" max="6" width="15.875" style="5" customWidth="1"/>
    <col min="7" max="7" width="9.875" style="5" customWidth="1"/>
    <col min="8" max="8" width="14" style="5" customWidth="1"/>
    <col min="9" max="9" width="12.25" style="5" customWidth="1"/>
    <col min="10" max="10" width="16.5" style="5" bestFit="1" customWidth="1"/>
    <col min="11" max="11" width="14" style="5" customWidth="1"/>
    <col min="13" max="13" width="11.5" bestFit="1" customWidth="1"/>
  </cols>
  <sheetData>
    <row r="1" spans="1:14" x14ac:dyDescent="0.25">
      <c r="A1" t="s">
        <v>0</v>
      </c>
      <c r="B1" t="s">
        <v>1</v>
      </c>
      <c r="C1" t="s">
        <v>2</v>
      </c>
      <c r="D1" s="5" t="s">
        <v>3</v>
      </c>
      <c r="E1" s="5" t="s">
        <v>4</v>
      </c>
      <c r="F1" s="5" t="s">
        <v>458</v>
      </c>
      <c r="G1" s="5" t="s">
        <v>5</v>
      </c>
      <c r="H1" s="5" t="s">
        <v>472</v>
      </c>
      <c r="I1" s="5" t="s">
        <v>457</v>
      </c>
      <c r="J1" s="5" t="s">
        <v>459</v>
      </c>
      <c r="K1" s="5" t="s">
        <v>6</v>
      </c>
    </row>
    <row r="2" spans="1:14" x14ac:dyDescent="0.25">
      <c r="A2" s="3">
        <v>44987</v>
      </c>
      <c r="B2" s="1" t="s">
        <v>7</v>
      </c>
      <c r="C2" s="1" t="s">
        <v>8</v>
      </c>
      <c r="D2" s="4">
        <v>8.17</v>
      </c>
      <c r="E2" s="4">
        <v>13</v>
      </c>
      <c r="F2" s="4">
        <f>Sales_data[[#This Row],[Selling Price (PHP)]]-Sales_data[[#This Row],[Base Price (PHP)]]</f>
        <v>4.83</v>
      </c>
      <c r="G2" s="4">
        <v>5</v>
      </c>
      <c r="H2" s="4">
        <f>Sales_data[[#This Row],[Quantity]]*Sales_data[[#This Row],[Base Price (PHP)]]</f>
        <v>40.85</v>
      </c>
      <c r="I2" s="4">
        <f>Sales_data[[#This Row],[Selling Price (PHP)]]*Sales_data[[#This Row],[Quantity]]</f>
        <v>65</v>
      </c>
      <c r="J2" s="4">
        <f>Sales_data[[#This Row],[Revenue]]*Sales_data[[#This Row],[Quantity]]</f>
        <v>24.15</v>
      </c>
      <c r="K2" s="4" t="s">
        <v>9</v>
      </c>
      <c r="M2" t="s">
        <v>463</v>
      </c>
      <c r="N2">
        <f>SUM(Sales_data[Total Sales])</f>
        <v>44224</v>
      </c>
    </row>
    <row r="3" spans="1:14" x14ac:dyDescent="0.25">
      <c r="A3" s="3">
        <v>44988</v>
      </c>
      <c r="B3" s="1" t="s">
        <v>10</v>
      </c>
      <c r="C3" s="1" t="s">
        <v>11</v>
      </c>
      <c r="D3" s="4">
        <v>23.45</v>
      </c>
      <c r="E3" s="4">
        <v>29</v>
      </c>
      <c r="F3" s="4">
        <f>Sales_data[[#This Row],[Selling Price (PHP)]]-Sales_data[[#This Row],[Base Price (PHP)]]</f>
        <v>5.5500000000000007</v>
      </c>
      <c r="G3" s="4">
        <v>4</v>
      </c>
      <c r="H3" s="4">
        <f>Sales_data[[#This Row],[Quantity]]*Sales_data[[#This Row],[Base Price (PHP)]]</f>
        <v>93.8</v>
      </c>
      <c r="I3" s="4">
        <f>Sales_data[[#This Row],[Selling Price (PHP)]]*Sales_data[[#This Row],[Quantity]]</f>
        <v>116</v>
      </c>
      <c r="J3" s="4">
        <f>Sales_data[[#This Row],[Revenue]]*Sales_data[[#This Row],[Quantity]]</f>
        <v>22.200000000000003</v>
      </c>
      <c r="K3" s="4" t="s">
        <v>12</v>
      </c>
    </row>
    <row r="4" spans="1:14" x14ac:dyDescent="0.25">
      <c r="A4" s="3">
        <v>44988</v>
      </c>
      <c r="B4" s="1" t="s">
        <v>10</v>
      </c>
      <c r="C4" s="1" t="s">
        <v>11</v>
      </c>
      <c r="D4" s="4">
        <v>23.45</v>
      </c>
      <c r="E4" s="4">
        <v>29</v>
      </c>
      <c r="F4" s="4">
        <f>Sales_data[[#This Row],[Selling Price (PHP)]]-Sales_data[[#This Row],[Base Price (PHP)]]</f>
        <v>5.5500000000000007</v>
      </c>
      <c r="G4" s="4">
        <v>2</v>
      </c>
      <c r="H4" s="4">
        <f>Sales_data[[#This Row],[Quantity]]*Sales_data[[#This Row],[Base Price (PHP)]]</f>
        <v>46.9</v>
      </c>
      <c r="I4" s="4">
        <f>Sales_data[[#This Row],[Selling Price (PHP)]]*Sales_data[[#This Row],[Quantity]]</f>
        <v>58</v>
      </c>
      <c r="J4" s="4">
        <f>Sales_data[[#This Row],[Revenue]]*Sales_data[[#This Row],[Quantity]]</f>
        <v>11.100000000000001</v>
      </c>
      <c r="K4" s="4" t="s">
        <v>13</v>
      </c>
    </row>
    <row r="5" spans="1:14" x14ac:dyDescent="0.25">
      <c r="A5" s="3">
        <v>44993</v>
      </c>
      <c r="B5" s="1" t="s">
        <v>14</v>
      </c>
      <c r="C5" s="1" t="s">
        <v>15</v>
      </c>
      <c r="D5" s="4">
        <v>10.25</v>
      </c>
      <c r="E5" s="4">
        <v>14</v>
      </c>
      <c r="F5" s="4">
        <f>Sales_data[[#This Row],[Selling Price (PHP)]]-Sales_data[[#This Row],[Base Price (PHP)]]</f>
        <v>3.75</v>
      </c>
      <c r="G5" s="4">
        <v>3</v>
      </c>
      <c r="H5" s="4">
        <f>Sales_data[[#This Row],[Quantity]]*Sales_data[[#This Row],[Base Price (PHP)]]</f>
        <v>30.75</v>
      </c>
      <c r="I5" s="4">
        <f>Sales_data[[#This Row],[Selling Price (PHP)]]*Sales_data[[#This Row],[Quantity]]</f>
        <v>42</v>
      </c>
      <c r="J5" s="4">
        <f>Sales_data[[#This Row],[Revenue]]*Sales_data[[#This Row],[Quantity]]</f>
        <v>11.25</v>
      </c>
      <c r="K5" s="4" t="s">
        <v>16</v>
      </c>
    </row>
    <row r="6" spans="1:14" x14ac:dyDescent="0.25">
      <c r="A6" s="3">
        <v>44993</v>
      </c>
      <c r="B6" s="1" t="s">
        <v>14</v>
      </c>
      <c r="C6" s="1" t="s">
        <v>15</v>
      </c>
      <c r="D6" s="4">
        <v>10.25</v>
      </c>
      <c r="E6" s="4">
        <v>14</v>
      </c>
      <c r="F6" s="4">
        <f>Sales_data[[#This Row],[Selling Price (PHP)]]-Sales_data[[#This Row],[Base Price (PHP)]]</f>
        <v>3.75</v>
      </c>
      <c r="G6" s="4">
        <v>1</v>
      </c>
      <c r="H6" s="4">
        <f>Sales_data[[#This Row],[Quantity]]*Sales_data[[#This Row],[Base Price (PHP)]]</f>
        <v>10.25</v>
      </c>
      <c r="I6" s="4">
        <f>Sales_data[[#This Row],[Selling Price (PHP)]]*Sales_data[[#This Row],[Quantity]]</f>
        <v>14</v>
      </c>
      <c r="J6" s="4">
        <f>Sales_data[[#This Row],[Revenue]]*Sales_data[[#This Row],[Quantity]]</f>
        <v>3.75</v>
      </c>
      <c r="K6" s="4" t="s">
        <v>17</v>
      </c>
    </row>
    <row r="7" spans="1:14" x14ac:dyDescent="0.25">
      <c r="A7" s="3">
        <v>44994</v>
      </c>
      <c r="B7" s="1" t="s">
        <v>18</v>
      </c>
      <c r="C7" s="1" t="s">
        <v>19</v>
      </c>
      <c r="D7" s="4">
        <v>18.5</v>
      </c>
      <c r="E7" s="4">
        <v>23</v>
      </c>
      <c r="F7" s="4">
        <f>Sales_data[[#This Row],[Selling Price (PHP)]]-Sales_data[[#This Row],[Base Price (PHP)]]</f>
        <v>4.5</v>
      </c>
      <c r="G7" s="4">
        <v>5</v>
      </c>
      <c r="H7" s="4">
        <f>Sales_data[[#This Row],[Quantity]]*Sales_data[[#This Row],[Base Price (PHP)]]</f>
        <v>92.5</v>
      </c>
      <c r="I7" s="4">
        <f>Sales_data[[#This Row],[Selling Price (PHP)]]*Sales_data[[#This Row],[Quantity]]</f>
        <v>115</v>
      </c>
      <c r="J7" s="4">
        <f>Sales_data[[#This Row],[Revenue]]*Sales_data[[#This Row],[Quantity]]</f>
        <v>22.5</v>
      </c>
      <c r="K7" s="4" t="s">
        <v>20</v>
      </c>
    </row>
    <row r="8" spans="1:14" x14ac:dyDescent="0.25">
      <c r="A8" s="3">
        <v>44996</v>
      </c>
      <c r="B8" s="1" t="s">
        <v>21</v>
      </c>
      <c r="C8" s="1" t="s">
        <v>22</v>
      </c>
      <c r="D8" s="4">
        <v>15.67</v>
      </c>
      <c r="E8" s="4">
        <v>20</v>
      </c>
      <c r="F8" s="4">
        <f>Sales_data[[#This Row],[Selling Price (PHP)]]-Sales_data[[#This Row],[Base Price (PHP)]]</f>
        <v>4.33</v>
      </c>
      <c r="G8" s="4">
        <v>8</v>
      </c>
      <c r="H8" s="4">
        <f>Sales_data[[#This Row],[Quantity]]*Sales_data[[#This Row],[Base Price (PHP)]]</f>
        <v>125.36</v>
      </c>
      <c r="I8" s="4">
        <f>Sales_data[[#This Row],[Selling Price (PHP)]]*Sales_data[[#This Row],[Quantity]]</f>
        <v>160</v>
      </c>
      <c r="J8" s="4">
        <f>Sales_data[[#This Row],[Revenue]]*Sales_data[[#This Row],[Quantity]]</f>
        <v>34.64</v>
      </c>
      <c r="K8" s="4" t="s">
        <v>23</v>
      </c>
    </row>
    <row r="9" spans="1:14" x14ac:dyDescent="0.25">
      <c r="A9" s="3">
        <v>44996</v>
      </c>
      <c r="B9" s="1" t="s">
        <v>24</v>
      </c>
      <c r="C9" s="1" t="s">
        <v>25</v>
      </c>
      <c r="D9" s="4">
        <v>8.17</v>
      </c>
      <c r="E9" s="4">
        <v>13</v>
      </c>
      <c r="F9" s="4">
        <f>Sales_data[[#This Row],[Selling Price (PHP)]]-Sales_data[[#This Row],[Base Price (PHP)]]</f>
        <v>4.83</v>
      </c>
      <c r="G9" s="4">
        <v>2</v>
      </c>
      <c r="H9" s="4">
        <f>Sales_data[[#This Row],[Quantity]]*Sales_data[[#This Row],[Base Price (PHP)]]</f>
        <v>16.34</v>
      </c>
      <c r="I9" s="4">
        <f>Sales_data[[#This Row],[Selling Price (PHP)]]*Sales_data[[#This Row],[Quantity]]</f>
        <v>26</v>
      </c>
      <c r="J9" s="4">
        <f>Sales_data[[#This Row],[Revenue]]*Sales_data[[#This Row],[Quantity]]</f>
        <v>9.66</v>
      </c>
      <c r="K9" s="4" t="s">
        <v>26</v>
      </c>
    </row>
    <row r="10" spans="1:14" x14ac:dyDescent="0.25">
      <c r="A10" s="3">
        <v>44996</v>
      </c>
      <c r="B10" s="1" t="s">
        <v>24</v>
      </c>
      <c r="C10" s="1" t="s">
        <v>25</v>
      </c>
      <c r="D10" s="4">
        <v>8.17</v>
      </c>
      <c r="E10" s="4">
        <v>13</v>
      </c>
      <c r="F10" s="4">
        <f>Sales_data[[#This Row],[Selling Price (PHP)]]-Sales_data[[#This Row],[Base Price (PHP)]]</f>
        <v>4.83</v>
      </c>
      <c r="G10" s="4">
        <v>5</v>
      </c>
      <c r="H10" s="4">
        <f>Sales_data[[#This Row],[Quantity]]*Sales_data[[#This Row],[Base Price (PHP)]]</f>
        <v>40.85</v>
      </c>
      <c r="I10" s="4">
        <f>Sales_data[[#This Row],[Selling Price (PHP)]]*Sales_data[[#This Row],[Quantity]]</f>
        <v>65</v>
      </c>
      <c r="J10" s="4">
        <f>Sales_data[[#This Row],[Revenue]]*Sales_data[[#This Row],[Quantity]]</f>
        <v>24.15</v>
      </c>
      <c r="K10" s="4" t="s">
        <v>27</v>
      </c>
    </row>
    <row r="11" spans="1:14" x14ac:dyDescent="0.25">
      <c r="A11" s="3">
        <v>44998</v>
      </c>
      <c r="B11" s="1" t="s">
        <v>21</v>
      </c>
      <c r="C11" s="1" t="s">
        <v>28</v>
      </c>
      <c r="D11" s="4">
        <v>21.17</v>
      </c>
      <c r="E11" s="4">
        <v>25</v>
      </c>
      <c r="F11" s="4">
        <f>Sales_data[[#This Row],[Selling Price (PHP)]]-Sales_data[[#This Row],[Base Price (PHP)]]</f>
        <v>3.8299999999999983</v>
      </c>
      <c r="G11" s="4">
        <v>5</v>
      </c>
      <c r="H11" s="4">
        <f>Sales_data[[#This Row],[Quantity]]*Sales_data[[#This Row],[Base Price (PHP)]]</f>
        <v>105.85000000000001</v>
      </c>
      <c r="I11" s="4">
        <f>Sales_data[[#This Row],[Selling Price (PHP)]]*Sales_data[[#This Row],[Quantity]]</f>
        <v>125</v>
      </c>
      <c r="J11" s="4">
        <f>Sales_data[[#This Row],[Revenue]]*Sales_data[[#This Row],[Quantity]]</f>
        <v>19.149999999999991</v>
      </c>
      <c r="K11" s="4" t="s">
        <v>29</v>
      </c>
    </row>
    <row r="12" spans="1:14" x14ac:dyDescent="0.25">
      <c r="A12" s="3">
        <v>44999</v>
      </c>
      <c r="B12" s="1" t="s">
        <v>30</v>
      </c>
      <c r="C12" s="1" t="s">
        <v>31</v>
      </c>
      <c r="D12" s="4">
        <v>20.329999999999998</v>
      </c>
      <c r="E12" s="4">
        <v>25</v>
      </c>
      <c r="F12" s="4">
        <f>Sales_data[[#This Row],[Selling Price (PHP)]]-Sales_data[[#This Row],[Base Price (PHP)]]</f>
        <v>4.6700000000000017</v>
      </c>
      <c r="G12" s="4">
        <v>1</v>
      </c>
      <c r="H12" s="4">
        <f>Sales_data[[#This Row],[Quantity]]*Sales_data[[#This Row],[Base Price (PHP)]]</f>
        <v>20.329999999999998</v>
      </c>
      <c r="I12" s="4">
        <f>Sales_data[[#This Row],[Selling Price (PHP)]]*Sales_data[[#This Row],[Quantity]]</f>
        <v>25</v>
      </c>
      <c r="J12" s="4">
        <f>Sales_data[[#This Row],[Revenue]]*Sales_data[[#This Row],[Quantity]]</f>
        <v>4.6700000000000017</v>
      </c>
      <c r="K12" s="4" t="s">
        <v>32</v>
      </c>
    </row>
    <row r="13" spans="1:14" x14ac:dyDescent="0.25">
      <c r="A13" s="3">
        <v>44999</v>
      </c>
      <c r="B13" s="1" t="s">
        <v>18</v>
      </c>
      <c r="C13" s="1" t="s">
        <v>33</v>
      </c>
      <c r="D13" s="4">
        <v>16.170000000000002</v>
      </c>
      <c r="E13" s="4">
        <v>20</v>
      </c>
      <c r="F13" s="4">
        <f>Sales_data[[#This Row],[Selling Price (PHP)]]-Sales_data[[#This Row],[Base Price (PHP)]]</f>
        <v>3.8299999999999983</v>
      </c>
      <c r="G13" s="4">
        <v>7</v>
      </c>
      <c r="H13" s="4">
        <f>Sales_data[[#This Row],[Quantity]]*Sales_data[[#This Row],[Base Price (PHP)]]</f>
        <v>113.19000000000001</v>
      </c>
      <c r="I13" s="4">
        <f>Sales_data[[#This Row],[Selling Price (PHP)]]*Sales_data[[#This Row],[Quantity]]</f>
        <v>140</v>
      </c>
      <c r="J13" s="4">
        <f>Sales_data[[#This Row],[Revenue]]*Sales_data[[#This Row],[Quantity]]</f>
        <v>26.809999999999988</v>
      </c>
      <c r="K13" s="4" t="s">
        <v>34</v>
      </c>
    </row>
    <row r="14" spans="1:14" x14ac:dyDescent="0.25">
      <c r="A14" s="3">
        <v>45000</v>
      </c>
      <c r="B14" s="1" t="s">
        <v>30</v>
      </c>
      <c r="C14" s="1" t="s">
        <v>31</v>
      </c>
      <c r="D14" s="4">
        <v>20.329999999999998</v>
      </c>
      <c r="E14" s="4">
        <v>25</v>
      </c>
      <c r="F14" s="4">
        <f>Sales_data[[#This Row],[Selling Price (PHP)]]-Sales_data[[#This Row],[Base Price (PHP)]]</f>
        <v>4.6700000000000017</v>
      </c>
      <c r="G14" s="4">
        <v>5</v>
      </c>
      <c r="H14" s="4">
        <f>Sales_data[[#This Row],[Quantity]]*Sales_data[[#This Row],[Base Price (PHP)]]</f>
        <v>101.64999999999999</v>
      </c>
      <c r="I14" s="4">
        <f>Sales_data[[#This Row],[Selling Price (PHP)]]*Sales_data[[#This Row],[Quantity]]</f>
        <v>125</v>
      </c>
      <c r="J14" s="4">
        <f>Sales_data[[#This Row],[Revenue]]*Sales_data[[#This Row],[Quantity]]</f>
        <v>23.350000000000009</v>
      </c>
      <c r="K14" s="4" t="s">
        <v>35</v>
      </c>
    </row>
    <row r="15" spans="1:14" x14ac:dyDescent="0.25">
      <c r="A15" s="3">
        <v>45001</v>
      </c>
      <c r="B15" s="1" t="s">
        <v>18</v>
      </c>
      <c r="C15" s="1" t="s">
        <v>19</v>
      </c>
      <c r="D15" s="4">
        <v>18.5</v>
      </c>
      <c r="E15" s="4">
        <v>23</v>
      </c>
      <c r="F15" s="4">
        <f>Sales_data[[#This Row],[Selling Price (PHP)]]-Sales_data[[#This Row],[Base Price (PHP)]]</f>
        <v>4.5</v>
      </c>
      <c r="G15" s="4">
        <v>5</v>
      </c>
      <c r="H15" s="4">
        <f>Sales_data[[#This Row],[Quantity]]*Sales_data[[#This Row],[Base Price (PHP)]]</f>
        <v>92.5</v>
      </c>
      <c r="I15" s="4">
        <f>Sales_data[[#This Row],[Selling Price (PHP)]]*Sales_data[[#This Row],[Quantity]]</f>
        <v>115</v>
      </c>
      <c r="J15" s="4">
        <f>Sales_data[[#This Row],[Revenue]]*Sales_data[[#This Row],[Quantity]]</f>
        <v>22.5</v>
      </c>
      <c r="K15" s="4" t="s">
        <v>36</v>
      </c>
    </row>
    <row r="16" spans="1:14" x14ac:dyDescent="0.25">
      <c r="A16" s="3">
        <v>45002</v>
      </c>
      <c r="B16" s="1" t="s">
        <v>10</v>
      </c>
      <c r="C16" s="1" t="s">
        <v>37</v>
      </c>
      <c r="D16" s="4">
        <v>13.83</v>
      </c>
      <c r="E16" s="4">
        <v>18</v>
      </c>
      <c r="F16" s="4">
        <f>Sales_data[[#This Row],[Selling Price (PHP)]]-Sales_data[[#This Row],[Base Price (PHP)]]</f>
        <v>4.17</v>
      </c>
      <c r="G16" s="4">
        <v>8</v>
      </c>
      <c r="H16" s="4">
        <f>Sales_data[[#This Row],[Quantity]]*Sales_data[[#This Row],[Base Price (PHP)]]</f>
        <v>110.64</v>
      </c>
      <c r="I16" s="4">
        <f>Sales_data[[#This Row],[Selling Price (PHP)]]*Sales_data[[#This Row],[Quantity]]</f>
        <v>144</v>
      </c>
      <c r="J16" s="4">
        <f>Sales_data[[#This Row],[Revenue]]*Sales_data[[#This Row],[Quantity]]</f>
        <v>33.36</v>
      </c>
      <c r="K16" s="4" t="s">
        <v>38</v>
      </c>
    </row>
    <row r="17" spans="1:11" x14ac:dyDescent="0.25">
      <c r="A17" s="3">
        <v>45002</v>
      </c>
      <c r="B17" s="1" t="s">
        <v>7</v>
      </c>
      <c r="C17" s="1" t="s">
        <v>39</v>
      </c>
      <c r="D17" s="4">
        <v>7.83</v>
      </c>
      <c r="E17" s="4">
        <v>12</v>
      </c>
      <c r="F17" s="4">
        <f>Sales_data[[#This Row],[Selling Price (PHP)]]-Sales_data[[#This Row],[Base Price (PHP)]]</f>
        <v>4.17</v>
      </c>
      <c r="G17" s="4">
        <v>6</v>
      </c>
      <c r="H17" s="4">
        <f>Sales_data[[#This Row],[Quantity]]*Sales_data[[#This Row],[Base Price (PHP)]]</f>
        <v>46.980000000000004</v>
      </c>
      <c r="I17" s="4">
        <f>Sales_data[[#This Row],[Selling Price (PHP)]]*Sales_data[[#This Row],[Quantity]]</f>
        <v>72</v>
      </c>
      <c r="J17" s="4">
        <f>Sales_data[[#This Row],[Revenue]]*Sales_data[[#This Row],[Quantity]]</f>
        <v>25.02</v>
      </c>
      <c r="K17" s="4" t="s">
        <v>40</v>
      </c>
    </row>
    <row r="18" spans="1:11" x14ac:dyDescent="0.25">
      <c r="A18" s="3">
        <v>45003</v>
      </c>
      <c r="B18" s="1" t="s">
        <v>18</v>
      </c>
      <c r="C18" s="1" t="s">
        <v>33</v>
      </c>
      <c r="D18" s="4">
        <v>16.170000000000002</v>
      </c>
      <c r="E18" s="4">
        <v>20</v>
      </c>
      <c r="F18" s="4">
        <f>Sales_data[[#This Row],[Selling Price (PHP)]]-Sales_data[[#This Row],[Base Price (PHP)]]</f>
        <v>3.8299999999999983</v>
      </c>
      <c r="G18" s="4">
        <v>4</v>
      </c>
      <c r="H18" s="4">
        <f>Sales_data[[#This Row],[Quantity]]*Sales_data[[#This Row],[Base Price (PHP)]]</f>
        <v>64.680000000000007</v>
      </c>
      <c r="I18" s="4">
        <f>Sales_data[[#This Row],[Selling Price (PHP)]]*Sales_data[[#This Row],[Quantity]]</f>
        <v>80</v>
      </c>
      <c r="J18" s="4">
        <f>Sales_data[[#This Row],[Revenue]]*Sales_data[[#This Row],[Quantity]]</f>
        <v>15.319999999999993</v>
      </c>
      <c r="K18" s="4" t="s">
        <v>41</v>
      </c>
    </row>
    <row r="19" spans="1:11" x14ac:dyDescent="0.25">
      <c r="A19" s="3">
        <v>45003</v>
      </c>
      <c r="B19" s="1" t="s">
        <v>18</v>
      </c>
      <c r="C19" s="1" t="s">
        <v>19</v>
      </c>
      <c r="D19" s="4">
        <v>18.5</v>
      </c>
      <c r="E19" s="4">
        <v>23</v>
      </c>
      <c r="F19" s="4">
        <f>Sales_data[[#This Row],[Selling Price (PHP)]]-Sales_data[[#This Row],[Base Price (PHP)]]</f>
        <v>4.5</v>
      </c>
      <c r="G19" s="4">
        <v>9</v>
      </c>
      <c r="H19" s="4">
        <f>Sales_data[[#This Row],[Quantity]]*Sales_data[[#This Row],[Base Price (PHP)]]</f>
        <v>166.5</v>
      </c>
      <c r="I19" s="4">
        <f>Sales_data[[#This Row],[Selling Price (PHP)]]*Sales_data[[#This Row],[Quantity]]</f>
        <v>207</v>
      </c>
      <c r="J19" s="4">
        <f>Sales_data[[#This Row],[Revenue]]*Sales_data[[#This Row],[Quantity]]</f>
        <v>40.5</v>
      </c>
      <c r="K19" s="4" t="s">
        <v>42</v>
      </c>
    </row>
    <row r="20" spans="1:11" x14ac:dyDescent="0.25">
      <c r="A20" s="3">
        <v>45003</v>
      </c>
      <c r="B20" s="1" t="s">
        <v>10</v>
      </c>
      <c r="C20" s="1" t="s">
        <v>43</v>
      </c>
      <c r="D20" s="4">
        <v>43.5</v>
      </c>
      <c r="E20" s="4">
        <v>55</v>
      </c>
      <c r="F20" s="4">
        <f>Sales_data[[#This Row],[Selling Price (PHP)]]-Sales_data[[#This Row],[Base Price (PHP)]]</f>
        <v>11.5</v>
      </c>
      <c r="G20" s="4">
        <v>10</v>
      </c>
      <c r="H20" s="4">
        <f>Sales_data[[#This Row],[Quantity]]*Sales_data[[#This Row],[Base Price (PHP)]]</f>
        <v>435</v>
      </c>
      <c r="I20" s="4">
        <f>Sales_data[[#This Row],[Selling Price (PHP)]]*Sales_data[[#This Row],[Quantity]]</f>
        <v>550</v>
      </c>
      <c r="J20" s="4">
        <f>Sales_data[[#This Row],[Revenue]]*Sales_data[[#This Row],[Quantity]]</f>
        <v>115</v>
      </c>
      <c r="K20" s="4" t="s">
        <v>44</v>
      </c>
    </row>
    <row r="21" spans="1:11" x14ac:dyDescent="0.25">
      <c r="A21" s="3">
        <v>45003</v>
      </c>
      <c r="B21" s="1" t="s">
        <v>45</v>
      </c>
      <c r="C21" s="1" t="s">
        <v>46</v>
      </c>
      <c r="D21" s="4">
        <v>12</v>
      </c>
      <c r="E21" s="4">
        <v>17</v>
      </c>
      <c r="F21" s="4">
        <f>Sales_data[[#This Row],[Selling Price (PHP)]]-Sales_data[[#This Row],[Base Price (PHP)]]</f>
        <v>5</v>
      </c>
      <c r="G21" s="4">
        <v>8</v>
      </c>
      <c r="H21" s="4">
        <f>Sales_data[[#This Row],[Quantity]]*Sales_data[[#This Row],[Base Price (PHP)]]</f>
        <v>96</v>
      </c>
      <c r="I21" s="4">
        <f>Sales_data[[#This Row],[Selling Price (PHP)]]*Sales_data[[#This Row],[Quantity]]</f>
        <v>136</v>
      </c>
      <c r="J21" s="4">
        <f>Sales_data[[#This Row],[Revenue]]*Sales_data[[#This Row],[Quantity]]</f>
        <v>40</v>
      </c>
      <c r="K21" s="4" t="s">
        <v>47</v>
      </c>
    </row>
    <row r="22" spans="1:11" x14ac:dyDescent="0.25">
      <c r="A22" s="3">
        <v>45004</v>
      </c>
      <c r="B22" s="1" t="s">
        <v>48</v>
      </c>
      <c r="C22" s="1" t="s">
        <v>49</v>
      </c>
      <c r="D22" s="4">
        <v>38.72</v>
      </c>
      <c r="E22" s="4">
        <v>43</v>
      </c>
      <c r="F22" s="4">
        <f>Sales_data[[#This Row],[Selling Price (PHP)]]-Sales_data[[#This Row],[Base Price (PHP)]]</f>
        <v>4.2800000000000011</v>
      </c>
      <c r="G22" s="4">
        <v>9</v>
      </c>
      <c r="H22" s="4">
        <f>Sales_data[[#This Row],[Quantity]]*Sales_data[[#This Row],[Base Price (PHP)]]</f>
        <v>348.48</v>
      </c>
      <c r="I22" s="4">
        <f>Sales_data[[#This Row],[Selling Price (PHP)]]*Sales_data[[#This Row],[Quantity]]</f>
        <v>387</v>
      </c>
      <c r="J22" s="4">
        <f>Sales_data[[#This Row],[Revenue]]*Sales_data[[#This Row],[Quantity]]</f>
        <v>38.52000000000001</v>
      </c>
      <c r="K22" s="4" t="s">
        <v>50</v>
      </c>
    </row>
    <row r="23" spans="1:11" x14ac:dyDescent="0.25">
      <c r="A23" s="3">
        <v>45004</v>
      </c>
      <c r="B23" s="1" t="s">
        <v>48</v>
      </c>
      <c r="C23" s="1" t="s">
        <v>49</v>
      </c>
      <c r="D23" s="4">
        <v>38.72</v>
      </c>
      <c r="E23" s="4">
        <v>43</v>
      </c>
      <c r="F23" s="4">
        <f>Sales_data[[#This Row],[Selling Price (PHP)]]-Sales_data[[#This Row],[Base Price (PHP)]]</f>
        <v>4.2800000000000011</v>
      </c>
      <c r="G23" s="4">
        <v>3</v>
      </c>
      <c r="H23" s="4">
        <f>Sales_data[[#This Row],[Quantity]]*Sales_data[[#This Row],[Base Price (PHP)]]</f>
        <v>116.16</v>
      </c>
      <c r="I23" s="4">
        <f>Sales_data[[#This Row],[Selling Price (PHP)]]*Sales_data[[#This Row],[Quantity]]</f>
        <v>129</v>
      </c>
      <c r="J23" s="4">
        <f>Sales_data[[#This Row],[Revenue]]*Sales_data[[#This Row],[Quantity]]</f>
        <v>12.840000000000003</v>
      </c>
      <c r="K23" s="4" t="s">
        <v>51</v>
      </c>
    </row>
    <row r="24" spans="1:11" x14ac:dyDescent="0.25">
      <c r="A24" s="3">
        <v>45004</v>
      </c>
      <c r="B24" s="1" t="s">
        <v>7</v>
      </c>
      <c r="C24" s="1" t="s">
        <v>52</v>
      </c>
      <c r="D24" s="4">
        <v>14.5</v>
      </c>
      <c r="E24" s="4">
        <v>19</v>
      </c>
      <c r="F24" s="4">
        <f>Sales_data[[#This Row],[Selling Price (PHP)]]-Sales_data[[#This Row],[Base Price (PHP)]]</f>
        <v>4.5</v>
      </c>
      <c r="G24" s="4">
        <v>10</v>
      </c>
      <c r="H24" s="4">
        <f>Sales_data[[#This Row],[Quantity]]*Sales_data[[#This Row],[Base Price (PHP)]]</f>
        <v>145</v>
      </c>
      <c r="I24" s="4">
        <f>Sales_data[[#This Row],[Selling Price (PHP)]]*Sales_data[[#This Row],[Quantity]]</f>
        <v>190</v>
      </c>
      <c r="J24" s="4">
        <f>Sales_data[[#This Row],[Revenue]]*Sales_data[[#This Row],[Quantity]]</f>
        <v>45</v>
      </c>
      <c r="K24" s="4" t="s">
        <v>53</v>
      </c>
    </row>
    <row r="25" spans="1:11" x14ac:dyDescent="0.25">
      <c r="A25" s="3">
        <v>45005</v>
      </c>
      <c r="B25" s="1" t="s">
        <v>30</v>
      </c>
      <c r="C25" s="1" t="s">
        <v>31</v>
      </c>
      <c r="D25" s="4">
        <v>20.329999999999998</v>
      </c>
      <c r="E25" s="4">
        <v>25</v>
      </c>
      <c r="F25" s="4">
        <f>Sales_data[[#This Row],[Selling Price (PHP)]]-Sales_data[[#This Row],[Base Price (PHP)]]</f>
        <v>4.6700000000000017</v>
      </c>
      <c r="G25" s="4">
        <v>3</v>
      </c>
      <c r="H25" s="4">
        <f>Sales_data[[#This Row],[Quantity]]*Sales_data[[#This Row],[Base Price (PHP)]]</f>
        <v>60.989999999999995</v>
      </c>
      <c r="I25" s="4">
        <f>Sales_data[[#This Row],[Selling Price (PHP)]]*Sales_data[[#This Row],[Quantity]]</f>
        <v>75</v>
      </c>
      <c r="J25" s="4">
        <f>Sales_data[[#This Row],[Revenue]]*Sales_data[[#This Row],[Quantity]]</f>
        <v>14.010000000000005</v>
      </c>
      <c r="K25" s="4" t="s">
        <v>54</v>
      </c>
    </row>
    <row r="26" spans="1:11" x14ac:dyDescent="0.25">
      <c r="A26" s="3">
        <v>45005</v>
      </c>
      <c r="B26" s="1" t="s">
        <v>7</v>
      </c>
      <c r="C26" s="1" t="s">
        <v>55</v>
      </c>
      <c r="D26" s="4">
        <v>12</v>
      </c>
      <c r="E26" s="4">
        <v>18</v>
      </c>
      <c r="F26" s="4">
        <f>Sales_data[[#This Row],[Selling Price (PHP)]]-Sales_data[[#This Row],[Base Price (PHP)]]</f>
        <v>6</v>
      </c>
      <c r="G26" s="4">
        <v>10</v>
      </c>
      <c r="H26" s="4">
        <f>Sales_data[[#This Row],[Quantity]]*Sales_data[[#This Row],[Base Price (PHP)]]</f>
        <v>120</v>
      </c>
      <c r="I26" s="4">
        <f>Sales_data[[#This Row],[Selling Price (PHP)]]*Sales_data[[#This Row],[Quantity]]</f>
        <v>180</v>
      </c>
      <c r="J26" s="4">
        <f>Sales_data[[#This Row],[Revenue]]*Sales_data[[#This Row],[Quantity]]</f>
        <v>60</v>
      </c>
      <c r="K26" s="4" t="s">
        <v>56</v>
      </c>
    </row>
    <row r="27" spans="1:11" x14ac:dyDescent="0.25">
      <c r="A27" s="3">
        <v>45005</v>
      </c>
      <c r="B27" s="1" t="s">
        <v>7</v>
      </c>
      <c r="C27" s="1" t="s">
        <v>55</v>
      </c>
      <c r="D27" s="4">
        <v>12</v>
      </c>
      <c r="E27" s="4">
        <v>18</v>
      </c>
      <c r="F27" s="4">
        <f>Sales_data[[#This Row],[Selling Price (PHP)]]-Sales_data[[#This Row],[Base Price (PHP)]]</f>
        <v>6</v>
      </c>
      <c r="G27" s="4">
        <v>1</v>
      </c>
      <c r="H27" s="4">
        <f>Sales_data[[#This Row],[Quantity]]*Sales_data[[#This Row],[Base Price (PHP)]]</f>
        <v>12</v>
      </c>
      <c r="I27" s="4">
        <f>Sales_data[[#This Row],[Selling Price (PHP)]]*Sales_data[[#This Row],[Quantity]]</f>
        <v>18</v>
      </c>
      <c r="J27" s="4">
        <f>Sales_data[[#This Row],[Revenue]]*Sales_data[[#This Row],[Quantity]]</f>
        <v>6</v>
      </c>
      <c r="K27" s="4" t="s">
        <v>57</v>
      </c>
    </row>
    <row r="28" spans="1:11" x14ac:dyDescent="0.25">
      <c r="A28" s="3">
        <v>45005</v>
      </c>
      <c r="B28" s="1" t="s">
        <v>7</v>
      </c>
      <c r="C28" s="1" t="s">
        <v>55</v>
      </c>
      <c r="D28" s="4">
        <v>12</v>
      </c>
      <c r="E28" s="4">
        <v>18</v>
      </c>
      <c r="F28" s="4">
        <f>Sales_data[[#This Row],[Selling Price (PHP)]]-Sales_data[[#This Row],[Base Price (PHP)]]</f>
        <v>6</v>
      </c>
      <c r="G28" s="4">
        <v>2</v>
      </c>
      <c r="H28" s="4">
        <f>Sales_data[[#This Row],[Quantity]]*Sales_data[[#This Row],[Base Price (PHP)]]</f>
        <v>24</v>
      </c>
      <c r="I28" s="4">
        <f>Sales_data[[#This Row],[Selling Price (PHP)]]*Sales_data[[#This Row],[Quantity]]</f>
        <v>36</v>
      </c>
      <c r="J28" s="4">
        <f>Sales_data[[#This Row],[Revenue]]*Sales_data[[#This Row],[Quantity]]</f>
        <v>12</v>
      </c>
      <c r="K28" s="4" t="s">
        <v>58</v>
      </c>
    </row>
    <row r="29" spans="1:11" x14ac:dyDescent="0.25">
      <c r="A29" s="3">
        <v>45005</v>
      </c>
      <c r="B29" s="1" t="s">
        <v>7</v>
      </c>
      <c r="C29" s="1" t="s">
        <v>55</v>
      </c>
      <c r="D29" s="4">
        <v>12</v>
      </c>
      <c r="E29" s="4">
        <v>18</v>
      </c>
      <c r="F29" s="4">
        <f>Sales_data[[#This Row],[Selling Price (PHP)]]-Sales_data[[#This Row],[Base Price (PHP)]]</f>
        <v>6</v>
      </c>
      <c r="G29" s="4">
        <v>3</v>
      </c>
      <c r="H29" s="4">
        <f>Sales_data[[#This Row],[Quantity]]*Sales_data[[#This Row],[Base Price (PHP)]]</f>
        <v>36</v>
      </c>
      <c r="I29" s="4">
        <f>Sales_data[[#This Row],[Selling Price (PHP)]]*Sales_data[[#This Row],[Quantity]]</f>
        <v>54</v>
      </c>
      <c r="J29" s="4">
        <f>Sales_data[[#This Row],[Revenue]]*Sales_data[[#This Row],[Quantity]]</f>
        <v>18</v>
      </c>
      <c r="K29" s="4" t="s">
        <v>59</v>
      </c>
    </row>
    <row r="30" spans="1:11" x14ac:dyDescent="0.25">
      <c r="A30" s="3">
        <v>45005</v>
      </c>
      <c r="B30" s="1" t="s">
        <v>7</v>
      </c>
      <c r="C30" s="1" t="s">
        <v>60</v>
      </c>
      <c r="D30" s="4">
        <v>13.5</v>
      </c>
      <c r="E30" s="4">
        <v>18</v>
      </c>
      <c r="F30" s="4">
        <f>Sales_data[[#This Row],[Selling Price (PHP)]]-Sales_data[[#This Row],[Base Price (PHP)]]</f>
        <v>4.5</v>
      </c>
      <c r="G30" s="4">
        <v>7</v>
      </c>
      <c r="H30" s="4">
        <f>Sales_data[[#This Row],[Quantity]]*Sales_data[[#This Row],[Base Price (PHP)]]</f>
        <v>94.5</v>
      </c>
      <c r="I30" s="4">
        <f>Sales_data[[#This Row],[Selling Price (PHP)]]*Sales_data[[#This Row],[Quantity]]</f>
        <v>126</v>
      </c>
      <c r="J30" s="4">
        <f>Sales_data[[#This Row],[Revenue]]*Sales_data[[#This Row],[Quantity]]</f>
        <v>31.5</v>
      </c>
      <c r="K30" s="4" t="s">
        <v>61</v>
      </c>
    </row>
    <row r="31" spans="1:11" x14ac:dyDescent="0.25">
      <c r="A31" s="3">
        <v>45005</v>
      </c>
      <c r="B31" s="1" t="s">
        <v>7</v>
      </c>
      <c r="C31" s="1" t="s">
        <v>60</v>
      </c>
      <c r="D31" s="4">
        <v>13.5</v>
      </c>
      <c r="E31" s="4">
        <v>18</v>
      </c>
      <c r="F31" s="4">
        <f>Sales_data[[#This Row],[Selling Price (PHP)]]-Sales_data[[#This Row],[Base Price (PHP)]]</f>
        <v>4.5</v>
      </c>
      <c r="G31" s="4">
        <v>7</v>
      </c>
      <c r="H31" s="4">
        <f>Sales_data[[#This Row],[Quantity]]*Sales_data[[#This Row],[Base Price (PHP)]]</f>
        <v>94.5</v>
      </c>
      <c r="I31" s="4">
        <f>Sales_data[[#This Row],[Selling Price (PHP)]]*Sales_data[[#This Row],[Quantity]]</f>
        <v>126</v>
      </c>
      <c r="J31" s="4">
        <f>Sales_data[[#This Row],[Revenue]]*Sales_data[[#This Row],[Quantity]]</f>
        <v>31.5</v>
      </c>
      <c r="K31" s="4" t="s">
        <v>62</v>
      </c>
    </row>
    <row r="32" spans="1:11" x14ac:dyDescent="0.25">
      <c r="A32" s="3">
        <v>45006</v>
      </c>
      <c r="B32" s="1" t="s">
        <v>14</v>
      </c>
      <c r="C32" s="1" t="s">
        <v>15</v>
      </c>
      <c r="D32" s="4">
        <v>10.25</v>
      </c>
      <c r="E32" s="4">
        <v>14</v>
      </c>
      <c r="F32" s="4">
        <f>Sales_data[[#This Row],[Selling Price (PHP)]]-Sales_data[[#This Row],[Base Price (PHP)]]</f>
        <v>3.75</v>
      </c>
      <c r="G32" s="4">
        <v>1</v>
      </c>
      <c r="H32" s="4">
        <f>Sales_data[[#This Row],[Quantity]]*Sales_data[[#This Row],[Base Price (PHP)]]</f>
        <v>10.25</v>
      </c>
      <c r="I32" s="4">
        <f>Sales_data[[#This Row],[Selling Price (PHP)]]*Sales_data[[#This Row],[Quantity]]</f>
        <v>14</v>
      </c>
      <c r="J32" s="4">
        <f>Sales_data[[#This Row],[Revenue]]*Sales_data[[#This Row],[Quantity]]</f>
        <v>3.75</v>
      </c>
      <c r="K32" s="4" t="s">
        <v>63</v>
      </c>
    </row>
    <row r="33" spans="1:11" x14ac:dyDescent="0.25">
      <c r="A33" s="3">
        <v>45006</v>
      </c>
      <c r="B33" s="1" t="s">
        <v>14</v>
      </c>
      <c r="C33" s="1" t="s">
        <v>15</v>
      </c>
      <c r="D33" s="4">
        <v>10.25</v>
      </c>
      <c r="E33" s="4">
        <v>14</v>
      </c>
      <c r="F33" s="4">
        <f>Sales_data[[#This Row],[Selling Price (PHP)]]-Sales_data[[#This Row],[Base Price (PHP)]]</f>
        <v>3.75</v>
      </c>
      <c r="G33" s="4">
        <v>10</v>
      </c>
      <c r="H33" s="4">
        <f>Sales_data[[#This Row],[Quantity]]*Sales_data[[#This Row],[Base Price (PHP)]]</f>
        <v>102.5</v>
      </c>
      <c r="I33" s="4">
        <f>Sales_data[[#This Row],[Selling Price (PHP)]]*Sales_data[[#This Row],[Quantity]]</f>
        <v>140</v>
      </c>
      <c r="J33" s="4">
        <f>Sales_data[[#This Row],[Revenue]]*Sales_data[[#This Row],[Quantity]]</f>
        <v>37.5</v>
      </c>
      <c r="K33" s="4" t="s">
        <v>64</v>
      </c>
    </row>
    <row r="34" spans="1:11" x14ac:dyDescent="0.25">
      <c r="A34" s="3">
        <v>45006</v>
      </c>
      <c r="B34" s="1" t="s">
        <v>21</v>
      </c>
      <c r="C34" s="1" t="s">
        <v>28</v>
      </c>
      <c r="D34" s="4">
        <v>21.17</v>
      </c>
      <c r="E34" s="4">
        <v>25</v>
      </c>
      <c r="F34" s="4">
        <f>Sales_data[[#This Row],[Selling Price (PHP)]]-Sales_data[[#This Row],[Base Price (PHP)]]</f>
        <v>3.8299999999999983</v>
      </c>
      <c r="G34" s="4">
        <v>10</v>
      </c>
      <c r="H34" s="4">
        <f>Sales_data[[#This Row],[Quantity]]*Sales_data[[#This Row],[Base Price (PHP)]]</f>
        <v>211.70000000000002</v>
      </c>
      <c r="I34" s="4">
        <f>Sales_data[[#This Row],[Selling Price (PHP)]]*Sales_data[[#This Row],[Quantity]]</f>
        <v>250</v>
      </c>
      <c r="J34" s="4">
        <f>Sales_data[[#This Row],[Revenue]]*Sales_data[[#This Row],[Quantity]]</f>
        <v>38.299999999999983</v>
      </c>
      <c r="K34" s="4" t="s">
        <v>65</v>
      </c>
    </row>
    <row r="35" spans="1:11" x14ac:dyDescent="0.25">
      <c r="A35" s="3">
        <v>45006</v>
      </c>
      <c r="B35" s="1" t="s">
        <v>10</v>
      </c>
      <c r="C35" s="1" t="s">
        <v>66</v>
      </c>
      <c r="D35" s="4">
        <v>32.75</v>
      </c>
      <c r="E35" s="4">
        <v>40</v>
      </c>
      <c r="F35" s="4">
        <f>Sales_data[[#This Row],[Selling Price (PHP)]]-Sales_data[[#This Row],[Base Price (PHP)]]</f>
        <v>7.25</v>
      </c>
      <c r="G35" s="4">
        <v>3</v>
      </c>
      <c r="H35" s="4">
        <f>Sales_data[[#This Row],[Quantity]]*Sales_data[[#This Row],[Base Price (PHP)]]</f>
        <v>98.25</v>
      </c>
      <c r="I35" s="4">
        <f>Sales_data[[#This Row],[Selling Price (PHP)]]*Sales_data[[#This Row],[Quantity]]</f>
        <v>120</v>
      </c>
      <c r="J35" s="4">
        <f>Sales_data[[#This Row],[Revenue]]*Sales_data[[#This Row],[Quantity]]</f>
        <v>21.75</v>
      </c>
      <c r="K35" s="4" t="s">
        <v>67</v>
      </c>
    </row>
    <row r="36" spans="1:11" x14ac:dyDescent="0.25">
      <c r="A36" s="3">
        <v>45006</v>
      </c>
      <c r="B36" s="1" t="s">
        <v>7</v>
      </c>
      <c r="C36" s="1" t="s">
        <v>68</v>
      </c>
      <c r="D36" s="4">
        <v>10.5</v>
      </c>
      <c r="E36" s="4">
        <v>15</v>
      </c>
      <c r="F36" s="4">
        <f>Sales_data[[#This Row],[Selling Price (PHP)]]-Sales_data[[#This Row],[Base Price (PHP)]]</f>
        <v>4.5</v>
      </c>
      <c r="G36" s="4">
        <v>2</v>
      </c>
      <c r="H36" s="4">
        <f>Sales_data[[#This Row],[Quantity]]*Sales_data[[#This Row],[Base Price (PHP)]]</f>
        <v>21</v>
      </c>
      <c r="I36" s="4">
        <f>Sales_data[[#This Row],[Selling Price (PHP)]]*Sales_data[[#This Row],[Quantity]]</f>
        <v>30</v>
      </c>
      <c r="J36" s="4">
        <f>Sales_data[[#This Row],[Revenue]]*Sales_data[[#This Row],[Quantity]]</f>
        <v>9</v>
      </c>
      <c r="K36" s="4" t="s">
        <v>69</v>
      </c>
    </row>
    <row r="37" spans="1:11" x14ac:dyDescent="0.25">
      <c r="A37" s="3">
        <v>45007</v>
      </c>
      <c r="B37" s="1" t="s">
        <v>48</v>
      </c>
      <c r="C37" s="1" t="s">
        <v>49</v>
      </c>
      <c r="D37" s="4">
        <v>38.72</v>
      </c>
      <c r="E37" s="4">
        <v>43</v>
      </c>
      <c r="F37" s="4">
        <f>Sales_data[[#This Row],[Selling Price (PHP)]]-Sales_data[[#This Row],[Base Price (PHP)]]</f>
        <v>4.2800000000000011</v>
      </c>
      <c r="G37" s="4">
        <v>5</v>
      </c>
      <c r="H37" s="4">
        <f>Sales_data[[#This Row],[Quantity]]*Sales_data[[#This Row],[Base Price (PHP)]]</f>
        <v>193.6</v>
      </c>
      <c r="I37" s="4">
        <f>Sales_data[[#This Row],[Selling Price (PHP)]]*Sales_data[[#This Row],[Quantity]]</f>
        <v>215</v>
      </c>
      <c r="J37" s="4">
        <f>Sales_data[[#This Row],[Revenue]]*Sales_data[[#This Row],[Quantity]]</f>
        <v>21.400000000000006</v>
      </c>
      <c r="K37" s="4" t="s">
        <v>70</v>
      </c>
    </row>
    <row r="38" spans="1:11" x14ac:dyDescent="0.25">
      <c r="A38" s="3">
        <v>45007</v>
      </c>
      <c r="B38" s="1" t="s">
        <v>71</v>
      </c>
      <c r="C38" s="1" t="s">
        <v>72</v>
      </c>
      <c r="D38" s="4">
        <v>22</v>
      </c>
      <c r="E38" s="4">
        <v>27</v>
      </c>
      <c r="F38" s="4">
        <f>Sales_data[[#This Row],[Selling Price (PHP)]]-Sales_data[[#This Row],[Base Price (PHP)]]</f>
        <v>5</v>
      </c>
      <c r="G38" s="4">
        <v>8</v>
      </c>
      <c r="H38" s="4">
        <f>Sales_data[[#This Row],[Quantity]]*Sales_data[[#This Row],[Base Price (PHP)]]</f>
        <v>176</v>
      </c>
      <c r="I38" s="4">
        <f>Sales_data[[#This Row],[Selling Price (PHP)]]*Sales_data[[#This Row],[Quantity]]</f>
        <v>216</v>
      </c>
      <c r="J38" s="4">
        <f>Sales_data[[#This Row],[Revenue]]*Sales_data[[#This Row],[Quantity]]</f>
        <v>40</v>
      </c>
      <c r="K38" s="4" t="s">
        <v>73</v>
      </c>
    </row>
    <row r="39" spans="1:11" x14ac:dyDescent="0.25">
      <c r="A39" s="3">
        <v>45007</v>
      </c>
      <c r="B39" s="1" t="s">
        <v>74</v>
      </c>
      <c r="C39" s="1" t="s">
        <v>75</v>
      </c>
      <c r="D39" s="4">
        <v>45.24</v>
      </c>
      <c r="E39" s="4">
        <v>65</v>
      </c>
      <c r="F39" s="4">
        <f>Sales_data[[#This Row],[Selling Price (PHP)]]-Sales_data[[#This Row],[Base Price (PHP)]]</f>
        <v>19.759999999999998</v>
      </c>
      <c r="G39" s="4">
        <v>10</v>
      </c>
      <c r="H39" s="4">
        <f>Sales_data[[#This Row],[Quantity]]*Sales_data[[#This Row],[Base Price (PHP)]]</f>
        <v>452.40000000000003</v>
      </c>
      <c r="I39" s="4">
        <f>Sales_data[[#This Row],[Selling Price (PHP)]]*Sales_data[[#This Row],[Quantity]]</f>
        <v>650</v>
      </c>
      <c r="J39" s="4">
        <f>Sales_data[[#This Row],[Revenue]]*Sales_data[[#This Row],[Quantity]]</f>
        <v>197.59999999999997</v>
      </c>
      <c r="K39" s="4" t="s">
        <v>76</v>
      </c>
    </row>
    <row r="40" spans="1:11" x14ac:dyDescent="0.25">
      <c r="A40" s="3">
        <v>45007</v>
      </c>
      <c r="B40" s="1" t="s">
        <v>7</v>
      </c>
      <c r="C40" s="1" t="s">
        <v>55</v>
      </c>
      <c r="D40" s="4">
        <v>12</v>
      </c>
      <c r="E40" s="4">
        <v>18</v>
      </c>
      <c r="F40" s="4">
        <f>Sales_data[[#This Row],[Selling Price (PHP)]]-Sales_data[[#This Row],[Base Price (PHP)]]</f>
        <v>6</v>
      </c>
      <c r="G40" s="4">
        <v>10</v>
      </c>
      <c r="H40" s="4">
        <f>Sales_data[[#This Row],[Quantity]]*Sales_data[[#This Row],[Base Price (PHP)]]</f>
        <v>120</v>
      </c>
      <c r="I40" s="4">
        <f>Sales_data[[#This Row],[Selling Price (PHP)]]*Sales_data[[#This Row],[Quantity]]</f>
        <v>180</v>
      </c>
      <c r="J40" s="4">
        <f>Sales_data[[#This Row],[Revenue]]*Sales_data[[#This Row],[Quantity]]</f>
        <v>60</v>
      </c>
      <c r="K40" s="4" t="s">
        <v>77</v>
      </c>
    </row>
    <row r="41" spans="1:11" x14ac:dyDescent="0.25">
      <c r="A41" s="3">
        <v>45008</v>
      </c>
      <c r="B41" s="1" t="s">
        <v>74</v>
      </c>
      <c r="C41" s="1" t="s">
        <v>78</v>
      </c>
      <c r="D41" s="4">
        <v>13</v>
      </c>
      <c r="E41" s="4">
        <v>18</v>
      </c>
      <c r="F41" s="4">
        <f>Sales_data[[#This Row],[Selling Price (PHP)]]-Sales_data[[#This Row],[Base Price (PHP)]]</f>
        <v>5</v>
      </c>
      <c r="G41" s="4">
        <v>8</v>
      </c>
      <c r="H41" s="4">
        <f>Sales_data[[#This Row],[Quantity]]*Sales_data[[#This Row],[Base Price (PHP)]]</f>
        <v>104</v>
      </c>
      <c r="I41" s="4">
        <f>Sales_data[[#This Row],[Selling Price (PHP)]]*Sales_data[[#This Row],[Quantity]]</f>
        <v>144</v>
      </c>
      <c r="J41" s="4">
        <f>Sales_data[[#This Row],[Revenue]]*Sales_data[[#This Row],[Quantity]]</f>
        <v>40</v>
      </c>
      <c r="K41" s="4" t="s">
        <v>79</v>
      </c>
    </row>
    <row r="42" spans="1:11" x14ac:dyDescent="0.25">
      <c r="A42" s="3">
        <v>45008</v>
      </c>
      <c r="B42" s="1" t="s">
        <v>74</v>
      </c>
      <c r="C42" s="1" t="s">
        <v>75</v>
      </c>
      <c r="D42" s="4">
        <v>45.24</v>
      </c>
      <c r="E42" s="4">
        <v>65</v>
      </c>
      <c r="F42" s="4">
        <f>Sales_data[[#This Row],[Selling Price (PHP)]]-Sales_data[[#This Row],[Base Price (PHP)]]</f>
        <v>19.759999999999998</v>
      </c>
      <c r="G42" s="4">
        <v>6</v>
      </c>
      <c r="H42" s="4">
        <f>Sales_data[[#This Row],[Quantity]]*Sales_data[[#This Row],[Base Price (PHP)]]</f>
        <v>271.44</v>
      </c>
      <c r="I42" s="4">
        <f>Sales_data[[#This Row],[Selling Price (PHP)]]*Sales_data[[#This Row],[Quantity]]</f>
        <v>390</v>
      </c>
      <c r="J42" s="4">
        <f>Sales_data[[#This Row],[Revenue]]*Sales_data[[#This Row],[Quantity]]</f>
        <v>118.55999999999999</v>
      </c>
      <c r="K42" s="4" t="s">
        <v>80</v>
      </c>
    </row>
    <row r="43" spans="1:11" x14ac:dyDescent="0.25">
      <c r="A43" s="3">
        <v>45008</v>
      </c>
      <c r="B43" s="1" t="s">
        <v>81</v>
      </c>
      <c r="C43" s="1" t="s">
        <v>82</v>
      </c>
      <c r="D43" s="4">
        <v>1.25</v>
      </c>
      <c r="E43" s="4">
        <v>3</v>
      </c>
      <c r="F43" s="4">
        <f>Sales_data[[#This Row],[Selling Price (PHP)]]-Sales_data[[#This Row],[Base Price (PHP)]]</f>
        <v>1.75</v>
      </c>
      <c r="G43" s="4">
        <v>2</v>
      </c>
      <c r="H43" s="4">
        <f>Sales_data[[#This Row],[Quantity]]*Sales_data[[#This Row],[Base Price (PHP)]]</f>
        <v>2.5</v>
      </c>
      <c r="I43" s="4">
        <f>Sales_data[[#This Row],[Selling Price (PHP)]]*Sales_data[[#This Row],[Quantity]]</f>
        <v>6</v>
      </c>
      <c r="J43" s="4">
        <f>Sales_data[[#This Row],[Revenue]]*Sales_data[[#This Row],[Quantity]]</f>
        <v>3.5</v>
      </c>
      <c r="K43" s="4" t="s">
        <v>83</v>
      </c>
    </row>
    <row r="44" spans="1:11" x14ac:dyDescent="0.25">
      <c r="A44" s="3">
        <v>45009</v>
      </c>
      <c r="B44" s="1" t="s">
        <v>74</v>
      </c>
      <c r="C44" s="1" t="s">
        <v>75</v>
      </c>
      <c r="D44" s="4">
        <v>45.24</v>
      </c>
      <c r="E44" s="4">
        <v>65</v>
      </c>
      <c r="F44" s="4">
        <f>Sales_data[[#This Row],[Selling Price (PHP)]]-Sales_data[[#This Row],[Base Price (PHP)]]</f>
        <v>19.759999999999998</v>
      </c>
      <c r="G44" s="4">
        <v>6</v>
      </c>
      <c r="H44" s="4">
        <f>Sales_data[[#This Row],[Quantity]]*Sales_data[[#This Row],[Base Price (PHP)]]</f>
        <v>271.44</v>
      </c>
      <c r="I44" s="4">
        <f>Sales_data[[#This Row],[Selling Price (PHP)]]*Sales_data[[#This Row],[Quantity]]</f>
        <v>390</v>
      </c>
      <c r="J44" s="4">
        <f>Sales_data[[#This Row],[Revenue]]*Sales_data[[#This Row],[Quantity]]</f>
        <v>118.55999999999999</v>
      </c>
      <c r="K44" s="4" t="s">
        <v>84</v>
      </c>
    </row>
    <row r="45" spans="1:11" x14ac:dyDescent="0.25">
      <c r="A45" s="3">
        <v>45009</v>
      </c>
      <c r="B45" s="1" t="s">
        <v>81</v>
      </c>
      <c r="C45" s="1" t="s">
        <v>85</v>
      </c>
      <c r="D45" s="4">
        <v>2.4500000000000002</v>
      </c>
      <c r="E45" s="4">
        <v>4</v>
      </c>
      <c r="F45" s="4">
        <f>Sales_data[[#This Row],[Selling Price (PHP)]]-Sales_data[[#This Row],[Base Price (PHP)]]</f>
        <v>1.5499999999999998</v>
      </c>
      <c r="G45" s="4">
        <v>8</v>
      </c>
      <c r="H45" s="4">
        <f>Sales_data[[#This Row],[Quantity]]*Sales_data[[#This Row],[Base Price (PHP)]]</f>
        <v>19.600000000000001</v>
      </c>
      <c r="I45" s="4">
        <f>Sales_data[[#This Row],[Selling Price (PHP)]]*Sales_data[[#This Row],[Quantity]]</f>
        <v>32</v>
      </c>
      <c r="J45" s="4">
        <f>Sales_data[[#This Row],[Revenue]]*Sales_data[[#This Row],[Quantity]]</f>
        <v>12.399999999999999</v>
      </c>
      <c r="K45" s="4" t="s">
        <v>86</v>
      </c>
    </row>
    <row r="46" spans="1:11" x14ac:dyDescent="0.25">
      <c r="A46" s="3">
        <v>45010</v>
      </c>
      <c r="B46" s="1" t="s">
        <v>30</v>
      </c>
      <c r="C46" s="1" t="s">
        <v>31</v>
      </c>
      <c r="D46" s="4">
        <v>20.329999999999998</v>
      </c>
      <c r="E46" s="4">
        <v>25</v>
      </c>
      <c r="F46" s="4">
        <f>Sales_data[[#This Row],[Selling Price (PHP)]]-Sales_data[[#This Row],[Base Price (PHP)]]</f>
        <v>4.6700000000000017</v>
      </c>
      <c r="G46" s="4">
        <v>2</v>
      </c>
      <c r="H46" s="4">
        <f>Sales_data[[#This Row],[Quantity]]*Sales_data[[#This Row],[Base Price (PHP)]]</f>
        <v>40.659999999999997</v>
      </c>
      <c r="I46" s="4">
        <f>Sales_data[[#This Row],[Selling Price (PHP)]]*Sales_data[[#This Row],[Quantity]]</f>
        <v>50</v>
      </c>
      <c r="J46" s="4">
        <f>Sales_data[[#This Row],[Revenue]]*Sales_data[[#This Row],[Quantity]]</f>
        <v>9.3400000000000034</v>
      </c>
      <c r="K46" s="4" t="s">
        <v>87</v>
      </c>
    </row>
    <row r="47" spans="1:11" x14ac:dyDescent="0.25">
      <c r="A47" s="3">
        <v>45010</v>
      </c>
      <c r="B47" s="1" t="s">
        <v>14</v>
      </c>
      <c r="C47" s="1" t="s">
        <v>15</v>
      </c>
      <c r="D47" s="4">
        <v>10.25</v>
      </c>
      <c r="E47" s="4">
        <v>14</v>
      </c>
      <c r="F47" s="4">
        <f>Sales_data[[#This Row],[Selling Price (PHP)]]-Sales_data[[#This Row],[Base Price (PHP)]]</f>
        <v>3.75</v>
      </c>
      <c r="G47" s="4">
        <v>2</v>
      </c>
      <c r="H47" s="4">
        <f>Sales_data[[#This Row],[Quantity]]*Sales_data[[#This Row],[Base Price (PHP)]]</f>
        <v>20.5</v>
      </c>
      <c r="I47" s="4">
        <f>Sales_data[[#This Row],[Selling Price (PHP)]]*Sales_data[[#This Row],[Quantity]]</f>
        <v>28</v>
      </c>
      <c r="J47" s="4">
        <f>Sales_data[[#This Row],[Revenue]]*Sales_data[[#This Row],[Quantity]]</f>
        <v>7.5</v>
      </c>
      <c r="K47" s="4" t="s">
        <v>88</v>
      </c>
    </row>
    <row r="48" spans="1:11" x14ac:dyDescent="0.25">
      <c r="A48" s="3">
        <v>45010</v>
      </c>
      <c r="B48" s="1" t="s">
        <v>7</v>
      </c>
      <c r="C48" s="1" t="s">
        <v>89</v>
      </c>
      <c r="D48" s="4">
        <v>12</v>
      </c>
      <c r="E48" s="4">
        <v>17</v>
      </c>
      <c r="F48" s="4">
        <f>Sales_data[[#This Row],[Selling Price (PHP)]]-Sales_data[[#This Row],[Base Price (PHP)]]</f>
        <v>5</v>
      </c>
      <c r="G48" s="4">
        <v>7</v>
      </c>
      <c r="H48" s="4">
        <f>Sales_data[[#This Row],[Quantity]]*Sales_data[[#This Row],[Base Price (PHP)]]</f>
        <v>84</v>
      </c>
      <c r="I48" s="4">
        <f>Sales_data[[#This Row],[Selling Price (PHP)]]*Sales_data[[#This Row],[Quantity]]</f>
        <v>119</v>
      </c>
      <c r="J48" s="4">
        <f>Sales_data[[#This Row],[Revenue]]*Sales_data[[#This Row],[Quantity]]</f>
        <v>35</v>
      </c>
      <c r="K48" s="4" t="s">
        <v>90</v>
      </c>
    </row>
    <row r="49" spans="1:11" x14ac:dyDescent="0.25">
      <c r="A49" s="3">
        <v>45011</v>
      </c>
      <c r="B49" s="1" t="s">
        <v>91</v>
      </c>
      <c r="C49" s="1" t="s">
        <v>92</v>
      </c>
      <c r="D49" s="4">
        <v>15.5</v>
      </c>
      <c r="E49" s="4">
        <v>20</v>
      </c>
      <c r="F49" s="4">
        <f>Sales_data[[#This Row],[Selling Price (PHP)]]-Sales_data[[#This Row],[Base Price (PHP)]]</f>
        <v>4.5</v>
      </c>
      <c r="G49" s="4">
        <v>7</v>
      </c>
      <c r="H49" s="4">
        <f>Sales_data[[#This Row],[Quantity]]*Sales_data[[#This Row],[Base Price (PHP)]]</f>
        <v>108.5</v>
      </c>
      <c r="I49" s="4">
        <f>Sales_data[[#This Row],[Selling Price (PHP)]]*Sales_data[[#This Row],[Quantity]]</f>
        <v>140</v>
      </c>
      <c r="J49" s="4">
        <f>Sales_data[[#This Row],[Revenue]]*Sales_data[[#This Row],[Quantity]]</f>
        <v>31.5</v>
      </c>
      <c r="K49" s="4" t="s">
        <v>93</v>
      </c>
    </row>
    <row r="50" spans="1:11" x14ac:dyDescent="0.25">
      <c r="A50" s="3">
        <v>45011</v>
      </c>
      <c r="B50" s="1" t="s">
        <v>7</v>
      </c>
      <c r="C50" s="1" t="s">
        <v>94</v>
      </c>
      <c r="D50" s="4">
        <v>9.83</v>
      </c>
      <c r="E50" s="4">
        <v>14</v>
      </c>
      <c r="F50" s="4">
        <f>Sales_data[[#This Row],[Selling Price (PHP)]]-Sales_data[[#This Row],[Base Price (PHP)]]</f>
        <v>4.17</v>
      </c>
      <c r="G50" s="4">
        <v>7</v>
      </c>
      <c r="H50" s="4">
        <f>Sales_data[[#This Row],[Quantity]]*Sales_data[[#This Row],[Base Price (PHP)]]</f>
        <v>68.81</v>
      </c>
      <c r="I50" s="4">
        <f>Sales_data[[#This Row],[Selling Price (PHP)]]*Sales_data[[#This Row],[Quantity]]</f>
        <v>98</v>
      </c>
      <c r="J50" s="4">
        <f>Sales_data[[#This Row],[Revenue]]*Sales_data[[#This Row],[Quantity]]</f>
        <v>29.189999999999998</v>
      </c>
      <c r="K50" s="4" t="s">
        <v>95</v>
      </c>
    </row>
    <row r="51" spans="1:11" x14ac:dyDescent="0.25">
      <c r="A51" s="3">
        <v>45011</v>
      </c>
      <c r="B51" s="1" t="s">
        <v>7</v>
      </c>
      <c r="C51" s="1" t="s">
        <v>94</v>
      </c>
      <c r="D51" s="4">
        <v>9.83</v>
      </c>
      <c r="E51" s="4">
        <v>14</v>
      </c>
      <c r="F51" s="4">
        <f>Sales_data[[#This Row],[Selling Price (PHP)]]-Sales_data[[#This Row],[Base Price (PHP)]]</f>
        <v>4.17</v>
      </c>
      <c r="G51" s="4">
        <v>4</v>
      </c>
      <c r="H51" s="4">
        <f>Sales_data[[#This Row],[Quantity]]*Sales_data[[#This Row],[Base Price (PHP)]]</f>
        <v>39.32</v>
      </c>
      <c r="I51" s="4">
        <f>Sales_data[[#This Row],[Selling Price (PHP)]]*Sales_data[[#This Row],[Quantity]]</f>
        <v>56</v>
      </c>
      <c r="J51" s="4">
        <f>Sales_data[[#This Row],[Revenue]]*Sales_data[[#This Row],[Quantity]]</f>
        <v>16.68</v>
      </c>
      <c r="K51" s="4" t="s">
        <v>96</v>
      </c>
    </row>
    <row r="52" spans="1:11" x14ac:dyDescent="0.25">
      <c r="A52" s="3">
        <v>45011</v>
      </c>
      <c r="B52" s="1" t="s">
        <v>7</v>
      </c>
      <c r="C52" s="1" t="s">
        <v>60</v>
      </c>
      <c r="D52" s="4">
        <v>13.5</v>
      </c>
      <c r="E52" s="4">
        <v>18</v>
      </c>
      <c r="F52" s="4">
        <f>Sales_data[[#This Row],[Selling Price (PHP)]]-Sales_data[[#This Row],[Base Price (PHP)]]</f>
        <v>4.5</v>
      </c>
      <c r="G52" s="4">
        <v>9</v>
      </c>
      <c r="H52" s="4">
        <f>Sales_data[[#This Row],[Quantity]]*Sales_data[[#This Row],[Base Price (PHP)]]</f>
        <v>121.5</v>
      </c>
      <c r="I52" s="4">
        <f>Sales_data[[#This Row],[Selling Price (PHP)]]*Sales_data[[#This Row],[Quantity]]</f>
        <v>162</v>
      </c>
      <c r="J52" s="4">
        <f>Sales_data[[#This Row],[Revenue]]*Sales_data[[#This Row],[Quantity]]</f>
        <v>40.5</v>
      </c>
      <c r="K52" s="4" t="s">
        <v>97</v>
      </c>
    </row>
    <row r="53" spans="1:11" x14ac:dyDescent="0.25">
      <c r="A53" s="3">
        <v>45011</v>
      </c>
      <c r="B53" s="1" t="s">
        <v>7</v>
      </c>
      <c r="C53" s="1" t="s">
        <v>60</v>
      </c>
      <c r="D53" s="4">
        <v>13.5</v>
      </c>
      <c r="E53" s="4">
        <v>18</v>
      </c>
      <c r="F53" s="4">
        <f>Sales_data[[#This Row],[Selling Price (PHP)]]-Sales_data[[#This Row],[Base Price (PHP)]]</f>
        <v>4.5</v>
      </c>
      <c r="G53" s="4">
        <v>6</v>
      </c>
      <c r="H53" s="4">
        <f>Sales_data[[#This Row],[Quantity]]*Sales_data[[#This Row],[Base Price (PHP)]]</f>
        <v>81</v>
      </c>
      <c r="I53" s="4">
        <f>Sales_data[[#This Row],[Selling Price (PHP)]]*Sales_data[[#This Row],[Quantity]]</f>
        <v>108</v>
      </c>
      <c r="J53" s="4">
        <f>Sales_data[[#This Row],[Revenue]]*Sales_data[[#This Row],[Quantity]]</f>
        <v>27</v>
      </c>
      <c r="K53" s="4" t="s">
        <v>98</v>
      </c>
    </row>
    <row r="54" spans="1:11" x14ac:dyDescent="0.25">
      <c r="A54" s="3">
        <v>45011</v>
      </c>
      <c r="B54" s="1" t="s">
        <v>7</v>
      </c>
      <c r="C54" s="1" t="s">
        <v>60</v>
      </c>
      <c r="D54" s="4">
        <v>13.5</v>
      </c>
      <c r="E54" s="4">
        <v>18</v>
      </c>
      <c r="F54" s="4">
        <f>Sales_data[[#This Row],[Selling Price (PHP)]]-Sales_data[[#This Row],[Base Price (PHP)]]</f>
        <v>4.5</v>
      </c>
      <c r="G54" s="4">
        <v>2</v>
      </c>
      <c r="H54" s="4">
        <f>Sales_data[[#This Row],[Quantity]]*Sales_data[[#This Row],[Base Price (PHP)]]</f>
        <v>27</v>
      </c>
      <c r="I54" s="4">
        <f>Sales_data[[#This Row],[Selling Price (PHP)]]*Sales_data[[#This Row],[Quantity]]</f>
        <v>36</v>
      </c>
      <c r="J54" s="4">
        <f>Sales_data[[#This Row],[Revenue]]*Sales_data[[#This Row],[Quantity]]</f>
        <v>9</v>
      </c>
      <c r="K54" s="4" t="s">
        <v>99</v>
      </c>
    </row>
    <row r="55" spans="1:11" x14ac:dyDescent="0.25">
      <c r="A55" s="3">
        <v>45012</v>
      </c>
      <c r="B55" s="1" t="s">
        <v>21</v>
      </c>
      <c r="C55" s="1" t="s">
        <v>100</v>
      </c>
      <c r="D55" s="4">
        <v>16.170000000000002</v>
      </c>
      <c r="E55" s="4">
        <v>20</v>
      </c>
      <c r="F55" s="4">
        <f>Sales_data[[#This Row],[Selling Price (PHP)]]-Sales_data[[#This Row],[Base Price (PHP)]]</f>
        <v>3.8299999999999983</v>
      </c>
      <c r="G55" s="4">
        <v>4</v>
      </c>
      <c r="H55" s="4">
        <f>Sales_data[[#This Row],[Quantity]]*Sales_data[[#This Row],[Base Price (PHP)]]</f>
        <v>64.680000000000007</v>
      </c>
      <c r="I55" s="4">
        <f>Sales_data[[#This Row],[Selling Price (PHP)]]*Sales_data[[#This Row],[Quantity]]</f>
        <v>80</v>
      </c>
      <c r="J55" s="4">
        <f>Sales_data[[#This Row],[Revenue]]*Sales_data[[#This Row],[Quantity]]</f>
        <v>15.319999999999993</v>
      </c>
      <c r="K55" s="4" t="s">
        <v>101</v>
      </c>
    </row>
    <row r="56" spans="1:11" x14ac:dyDescent="0.25">
      <c r="A56" s="3">
        <v>45012</v>
      </c>
      <c r="B56" s="1" t="s">
        <v>7</v>
      </c>
      <c r="C56" s="1" t="s">
        <v>68</v>
      </c>
      <c r="D56" s="4">
        <v>10.5</v>
      </c>
      <c r="E56" s="4">
        <v>15</v>
      </c>
      <c r="F56" s="4">
        <f>Sales_data[[#This Row],[Selling Price (PHP)]]-Sales_data[[#This Row],[Base Price (PHP)]]</f>
        <v>4.5</v>
      </c>
      <c r="G56" s="4">
        <v>1</v>
      </c>
      <c r="H56" s="4">
        <f>Sales_data[[#This Row],[Quantity]]*Sales_data[[#This Row],[Base Price (PHP)]]</f>
        <v>10.5</v>
      </c>
      <c r="I56" s="4">
        <f>Sales_data[[#This Row],[Selling Price (PHP)]]*Sales_data[[#This Row],[Quantity]]</f>
        <v>15</v>
      </c>
      <c r="J56" s="4">
        <f>Sales_data[[#This Row],[Revenue]]*Sales_data[[#This Row],[Quantity]]</f>
        <v>4.5</v>
      </c>
      <c r="K56" s="4" t="s">
        <v>102</v>
      </c>
    </row>
    <row r="57" spans="1:11" x14ac:dyDescent="0.25">
      <c r="A57" s="3">
        <v>45012</v>
      </c>
      <c r="B57" s="1" t="s">
        <v>7</v>
      </c>
      <c r="C57" s="1" t="s">
        <v>68</v>
      </c>
      <c r="D57" s="4">
        <v>10.5</v>
      </c>
      <c r="E57" s="4">
        <v>15</v>
      </c>
      <c r="F57" s="4">
        <f>Sales_data[[#This Row],[Selling Price (PHP)]]-Sales_data[[#This Row],[Base Price (PHP)]]</f>
        <v>4.5</v>
      </c>
      <c r="G57" s="4">
        <v>3</v>
      </c>
      <c r="H57" s="4">
        <f>Sales_data[[#This Row],[Quantity]]*Sales_data[[#This Row],[Base Price (PHP)]]</f>
        <v>31.5</v>
      </c>
      <c r="I57" s="4">
        <f>Sales_data[[#This Row],[Selling Price (PHP)]]*Sales_data[[#This Row],[Quantity]]</f>
        <v>45</v>
      </c>
      <c r="J57" s="4">
        <f>Sales_data[[#This Row],[Revenue]]*Sales_data[[#This Row],[Quantity]]</f>
        <v>13.5</v>
      </c>
      <c r="K57" s="4" t="s">
        <v>103</v>
      </c>
    </row>
    <row r="58" spans="1:11" x14ac:dyDescent="0.25">
      <c r="A58" s="3">
        <v>45012</v>
      </c>
      <c r="B58" s="1" t="s">
        <v>7</v>
      </c>
      <c r="C58" s="1" t="s">
        <v>68</v>
      </c>
      <c r="D58" s="4">
        <v>10.5</v>
      </c>
      <c r="E58" s="4">
        <v>15</v>
      </c>
      <c r="F58" s="4">
        <f>Sales_data[[#This Row],[Selling Price (PHP)]]-Sales_data[[#This Row],[Base Price (PHP)]]</f>
        <v>4.5</v>
      </c>
      <c r="G58" s="4">
        <v>4</v>
      </c>
      <c r="H58" s="4">
        <f>Sales_data[[#This Row],[Quantity]]*Sales_data[[#This Row],[Base Price (PHP)]]</f>
        <v>42</v>
      </c>
      <c r="I58" s="4">
        <f>Sales_data[[#This Row],[Selling Price (PHP)]]*Sales_data[[#This Row],[Quantity]]</f>
        <v>60</v>
      </c>
      <c r="J58" s="4">
        <f>Sales_data[[#This Row],[Revenue]]*Sales_data[[#This Row],[Quantity]]</f>
        <v>18</v>
      </c>
      <c r="K58" s="4" t="s">
        <v>104</v>
      </c>
    </row>
    <row r="59" spans="1:11" x14ac:dyDescent="0.25">
      <c r="A59" s="3">
        <v>45013</v>
      </c>
      <c r="B59" s="1" t="s">
        <v>30</v>
      </c>
      <c r="C59" s="1" t="s">
        <v>105</v>
      </c>
      <c r="D59" s="4">
        <v>19.829999999999998</v>
      </c>
      <c r="E59" s="4">
        <v>24</v>
      </c>
      <c r="F59" s="4">
        <f>Sales_data[[#This Row],[Selling Price (PHP)]]-Sales_data[[#This Row],[Base Price (PHP)]]</f>
        <v>4.1700000000000017</v>
      </c>
      <c r="G59" s="4">
        <v>8</v>
      </c>
      <c r="H59" s="4">
        <f>Sales_data[[#This Row],[Quantity]]*Sales_data[[#This Row],[Base Price (PHP)]]</f>
        <v>158.63999999999999</v>
      </c>
      <c r="I59" s="4">
        <f>Sales_data[[#This Row],[Selling Price (PHP)]]*Sales_data[[#This Row],[Quantity]]</f>
        <v>192</v>
      </c>
      <c r="J59" s="4">
        <f>Sales_data[[#This Row],[Revenue]]*Sales_data[[#This Row],[Quantity]]</f>
        <v>33.360000000000014</v>
      </c>
      <c r="K59" s="4" t="s">
        <v>106</v>
      </c>
    </row>
    <row r="60" spans="1:11" x14ac:dyDescent="0.25">
      <c r="A60" s="3">
        <v>45013</v>
      </c>
      <c r="B60" s="1" t="s">
        <v>71</v>
      </c>
      <c r="C60" s="1" t="s">
        <v>72</v>
      </c>
      <c r="D60" s="4">
        <v>22</v>
      </c>
      <c r="E60" s="4">
        <v>27</v>
      </c>
      <c r="F60" s="4">
        <f>Sales_data[[#This Row],[Selling Price (PHP)]]-Sales_data[[#This Row],[Base Price (PHP)]]</f>
        <v>5</v>
      </c>
      <c r="G60" s="4">
        <v>8</v>
      </c>
      <c r="H60" s="4">
        <f>Sales_data[[#This Row],[Quantity]]*Sales_data[[#This Row],[Base Price (PHP)]]</f>
        <v>176</v>
      </c>
      <c r="I60" s="4">
        <f>Sales_data[[#This Row],[Selling Price (PHP)]]*Sales_data[[#This Row],[Quantity]]</f>
        <v>216</v>
      </c>
      <c r="J60" s="4">
        <f>Sales_data[[#This Row],[Revenue]]*Sales_data[[#This Row],[Quantity]]</f>
        <v>40</v>
      </c>
      <c r="K60" s="4" t="s">
        <v>107</v>
      </c>
    </row>
    <row r="61" spans="1:11" x14ac:dyDescent="0.25">
      <c r="A61" s="3">
        <v>45013</v>
      </c>
      <c r="B61" s="1" t="s">
        <v>10</v>
      </c>
      <c r="C61" s="1" t="s">
        <v>43</v>
      </c>
      <c r="D61" s="4">
        <v>43.5</v>
      </c>
      <c r="E61" s="4">
        <v>55</v>
      </c>
      <c r="F61" s="4">
        <f>Sales_data[[#This Row],[Selling Price (PHP)]]-Sales_data[[#This Row],[Base Price (PHP)]]</f>
        <v>11.5</v>
      </c>
      <c r="G61" s="4">
        <v>10</v>
      </c>
      <c r="H61" s="4">
        <f>Sales_data[[#This Row],[Quantity]]*Sales_data[[#This Row],[Base Price (PHP)]]</f>
        <v>435</v>
      </c>
      <c r="I61" s="4">
        <f>Sales_data[[#This Row],[Selling Price (PHP)]]*Sales_data[[#This Row],[Quantity]]</f>
        <v>550</v>
      </c>
      <c r="J61" s="4">
        <f>Sales_data[[#This Row],[Revenue]]*Sales_data[[#This Row],[Quantity]]</f>
        <v>115</v>
      </c>
      <c r="K61" s="4" t="s">
        <v>108</v>
      </c>
    </row>
    <row r="62" spans="1:11" x14ac:dyDescent="0.25">
      <c r="A62" s="3">
        <v>45013</v>
      </c>
      <c r="B62" s="1" t="s">
        <v>24</v>
      </c>
      <c r="C62" s="1" t="s">
        <v>109</v>
      </c>
      <c r="D62" s="4">
        <v>10.5</v>
      </c>
      <c r="E62" s="4">
        <v>15</v>
      </c>
      <c r="F62" s="4">
        <f>Sales_data[[#This Row],[Selling Price (PHP)]]-Sales_data[[#This Row],[Base Price (PHP)]]</f>
        <v>4.5</v>
      </c>
      <c r="G62" s="4">
        <v>3</v>
      </c>
      <c r="H62" s="4">
        <f>Sales_data[[#This Row],[Quantity]]*Sales_data[[#This Row],[Base Price (PHP)]]</f>
        <v>31.5</v>
      </c>
      <c r="I62" s="4">
        <f>Sales_data[[#This Row],[Selling Price (PHP)]]*Sales_data[[#This Row],[Quantity]]</f>
        <v>45</v>
      </c>
      <c r="J62" s="4">
        <f>Sales_data[[#This Row],[Revenue]]*Sales_data[[#This Row],[Quantity]]</f>
        <v>13.5</v>
      </c>
      <c r="K62" s="4" t="s">
        <v>110</v>
      </c>
    </row>
    <row r="63" spans="1:11" x14ac:dyDescent="0.25">
      <c r="A63" s="3">
        <v>45013</v>
      </c>
      <c r="B63" s="1" t="s">
        <v>7</v>
      </c>
      <c r="C63" s="1" t="s">
        <v>60</v>
      </c>
      <c r="D63" s="4">
        <v>13.5</v>
      </c>
      <c r="E63" s="4">
        <v>18</v>
      </c>
      <c r="F63" s="4">
        <f>Sales_data[[#This Row],[Selling Price (PHP)]]-Sales_data[[#This Row],[Base Price (PHP)]]</f>
        <v>4.5</v>
      </c>
      <c r="G63" s="4">
        <v>3</v>
      </c>
      <c r="H63" s="4">
        <f>Sales_data[[#This Row],[Quantity]]*Sales_data[[#This Row],[Base Price (PHP)]]</f>
        <v>40.5</v>
      </c>
      <c r="I63" s="4">
        <f>Sales_data[[#This Row],[Selling Price (PHP)]]*Sales_data[[#This Row],[Quantity]]</f>
        <v>54</v>
      </c>
      <c r="J63" s="4">
        <f>Sales_data[[#This Row],[Revenue]]*Sales_data[[#This Row],[Quantity]]</f>
        <v>13.5</v>
      </c>
      <c r="K63" s="4" t="s">
        <v>111</v>
      </c>
    </row>
    <row r="64" spans="1:11" x14ac:dyDescent="0.25">
      <c r="A64" s="3">
        <v>45014</v>
      </c>
      <c r="B64" s="1" t="s">
        <v>21</v>
      </c>
      <c r="C64" s="1" t="s">
        <v>112</v>
      </c>
      <c r="D64" s="4">
        <v>12.5</v>
      </c>
      <c r="E64" s="4">
        <v>16</v>
      </c>
      <c r="F64" s="4">
        <f>Sales_data[[#This Row],[Selling Price (PHP)]]-Sales_data[[#This Row],[Base Price (PHP)]]</f>
        <v>3.5</v>
      </c>
      <c r="G64" s="4">
        <v>7</v>
      </c>
      <c r="H64" s="4">
        <f>Sales_data[[#This Row],[Quantity]]*Sales_data[[#This Row],[Base Price (PHP)]]</f>
        <v>87.5</v>
      </c>
      <c r="I64" s="4">
        <f>Sales_data[[#This Row],[Selling Price (PHP)]]*Sales_data[[#This Row],[Quantity]]</f>
        <v>112</v>
      </c>
      <c r="J64" s="4">
        <f>Sales_data[[#This Row],[Revenue]]*Sales_data[[#This Row],[Quantity]]</f>
        <v>24.5</v>
      </c>
      <c r="K64" s="4" t="s">
        <v>113</v>
      </c>
    </row>
    <row r="65" spans="1:11" x14ac:dyDescent="0.25">
      <c r="A65" s="3">
        <v>45014</v>
      </c>
      <c r="B65" s="1" t="s">
        <v>21</v>
      </c>
      <c r="C65" s="1" t="s">
        <v>28</v>
      </c>
      <c r="D65" s="4">
        <v>21.17</v>
      </c>
      <c r="E65" s="4">
        <v>25</v>
      </c>
      <c r="F65" s="4">
        <f>Sales_data[[#This Row],[Selling Price (PHP)]]-Sales_data[[#This Row],[Base Price (PHP)]]</f>
        <v>3.8299999999999983</v>
      </c>
      <c r="G65" s="4">
        <v>10</v>
      </c>
      <c r="H65" s="4">
        <f>Sales_data[[#This Row],[Quantity]]*Sales_data[[#This Row],[Base Price (PHP)]]</f>
        <v>211.70000000000002</v>
      </c>
      <c r="I65" s="4">
        <f>Sales_data[[#This Row],[Selling Price (PHP)]]*Sales_data[[#This Row],[Quantity]]</f>
        <v>250</v>
      </c>
      <c r="J65" s="4">
        <f>Sales_data[[#This Row],[Revenue]]*Sales_data[[#This Row],[Quantity]]</f>
        <v>38.299999999999983</v>
      </c>
      <c r="K65" s="4" t="s">
        <v>114</v>
      </c>
    </row>
    <row r="66" spans="1:11" x14ac:dyDescent="0.25">
      <c r="A66" s="3">
        <v>45014</v>
      </c>
      <c r="B66" s="1" t="s">
        <v>7</v>
      </c>
      <c r="C66" s="1" t="s">
        <v>60</v>
      </c>
      <c r="D66" s="4">
        <v>13.5</v>
      </c>
      <c r="E66" s="4">
        <v>18</v>
      </c>
      <c r="F66" s="4">
        <f>Sales_data[[#This Row],[Selling Price (PHP)]]-Sales_data[[#This Row],[Base Price (PHP)]]</f>
        <v>4.5</v>
      </c>
      <c r="G66" s="4">
        <v>8</v>
      </c>
      <c r="H66" s="4">
        <f>Sales_data[[#This Row],[Quantity]]*Sales_data[[#This Row],[Base Price (PHP)]]</f>
        <v>108</v>
      </c>
      <c r="I66" s="4">
        <f>Sales_data[[#This Row],[Selling Price (PHP)]]*Sales_data[[#This Row],[Quantity]]</f>
        <v>144</v>
      </c>
      <c r="J66" s="4">
        <f>Sales_data[[#This Row],[Revenue]]*Sales_data[[#This Row],[Quantity]]</f>
        <v>36</v>
      </c>
      <c r="K66" s="4" t="s">
        <v>115</v>
      </c>
    </row>
    <row r="67" spans="1:11" x14ac:dyDescent="0.25">
      <c r="A67" s="3">
        <v>45015</v>
      </c>
      <c r="B67" s="1" t="s">
        <v>24</v>
      </c>
      <c r="C67" s="1" t="s">
        <v>116</v>
      </c>
      <c r="D67" s="4">
        <v>7.5</v>
      </c>
      <c r="E67" s="4">
        <v>12</v>
      </c>
      <c r="F67" s="4">
        <f>Sales_data[[#This Row],[Selling Price (PHP)]]-Sales_data[[#This Row],[Base Price (PHP)]]</f>
        <v>4.5</v>
      </c>
      <c r="G67" s="4">
        <v>9</v>
      </c>
      <c r="H67" s="4">
        <f>Sales_data[[#This Row],[Quantity]]*Sales_data[[#This Row],[Base Price (PHP)]]</f>
        <v>67.5</v>
      </c>
      <c r="I67" s="4">
        <f>Sales_data[[#This Row],[Selling Price (PHP)]]*Sales_data[[#This Row],[Quantity]]</f>
        <v>108</v>
      </c>
      <c r="J67" s="4">
        <f>Sales_data[[#This Row],[Revenue]]*Sales_data[[#This Row],[Quantity]]</f>
        <v>40.5</v>
      </c>
      <c r="K67" s="4" t="s">
        <v>117</v>
      </c>
    </row>
    <row r="68" spans="1:11" x14ac:dyDescent="0.25">
      <c r="A68" s="3">
        <v>45015</v>
      </c>
      <c r="B68" s="1" t="s">
        <v>7</v>
      </c>
      <c r="C68" s="1" t="s">
        <v>89</v>
      </c>
      <c r="D68" s="4">
        <v>12</v>
      </c>
      <c r="E68" s="4">
        <v>17</v>
      </c>
      <c r="F68" s="4">
        <f>Sales_data[[#This Row],[Selling Price (PHP)]]-Sales_data[[#This Row],[Base Price (PHP)]]</f>
        <v>5</v>
      </c>
      <c r="G68" s="4">
        <v>9</v>
      </c>
      <c r="H68" s="4">
        <f>Sales_data[[#This Row],[Quantity]]*Sales_data[[#This Row],[Base Price (PHP)]]</f>
        <v>108</v>
      </c>
      <c r="I68" s="4">
        <f>Sales_data[[#This Row],[Selling Price (PHP)]]*Sales_data[[#This Row],[Quantity]]</f>
        <v>153</v>
      </c>
      <c r="J68" s="4">
        <f>Sales_data[[#This Row],[Revenue]]*Sales_data[[#This Row],[Quantity]]</f>
        <v>45</v>
      </c>
      <c r="K68" s="4" t="s">
        <v>118</v>
      </c>
    </row>
    <row r="69" spans="1:11" x14ac:dyDescent="0.25">
      <c r="A69" s="3">
        <v>45016</v>
      </c>
      <c r="B69" s="1" t="s">
        <v>30</v>
      </c>
      <c r="C69" s="1" t="s">
        <v>119</v>
      </c>
      <c r="D69" s="4">
        <v>14</v>
      </c>
      <c r="E69" s="4">
        <v>19</v>
      </c>
      <c r="F69" s="4">
        <f>Sales_data[[#This Row],[Selling Price (PHP)]]-Sales_data[[#This Row],[Base Price (PHP)]]</f>
        <v>5</v>
      </c>
      <c r="G69" s="4">
        <v>10</v>
      </c>
      <c r="H69" s="4">
        <f>Sales_data[[#This Row],[Quantity]]*Sales_data[[#This Row],[Base Price (PHP)]]</f>
        <v>140</v>
      </c>
      <c r="I69" s="4">
        <f>Sales_data[[#This Row],[Selling Price (PHP)]]*Sales_data[[#This Row],[Quantity]]</f>
        <v>190</v>
      </c>
      <c r="J69" s="4">
        <f>Sales_data[[#This Row],[Revenue]]*Sales_data[[#This Row],[Quantity]]</f>
        <v>50</v>
      </c>
      <c r="K69" s="4" t="s">
        <v>120</v>
      </c>
    </row>
    <row r="70" spans="1:11" x14ac:dyDescent="0.25">
      <c r="A70" s="3">
        <v>45016</v>
      </c>
      <c r="B70" s="1" t="s">
        <v>81</v>
      </c>
      <c r="C70" s="1" t="s">
        <v>121</v>
      </c>
      <c r="D70" s="4">
        <v>3.15</v>
      </c>
      <c r="E70" s="4">
        <v>5</v>
      </c>
      <c r="F70" s="4">
        <f>Sales_data[[#This Row],[Selling Price (PHP)]]-Sales_data[[#This Row],[Base Price (PHP)]]</f>
        <v>1.85</v>
      </c>
      <c r="G70" s="4">
        <v>4</v>
      </c>
      <c r="H70" s="4">
        <f>Sales_data[[#This Row],[Quantity]]*Sales_data[[#This Row],[Base Price (PHP)]]</f>
        <v>12.6</v>
      </c>
      <c r="I70" s="4">
        <f>Sales_data[[#This Row],[Selling Price (PHP)]]*Sales_data[[#This Row],[Quantity]]</f>
        <v>20</v>
      </c>
      <c r="J70" s="4">
        <f>Sales_data[[#This Row],[Revenue]]*Sales_data[[#This Row],[Quantity]]</f>
        <v>7.4</v>
      </c>
      <c r="K70" s="4" t="s">
        <v>122</v>
      </c>
    </row>
    <row r="71" spans="1:11" x14ac:dyDescent="0.25">
      <c r="A71" s="3">
        <v>45019</v>
      </c>
      <c r="B71" s="1" t="s">
        <v>74</v>
      </c>
      <c r="C71" s="1" t="s">
        <v>123</v>
      </c>
      <c r="D71" s="4">
        <v>23.5</v>
      </c>
      <c r="E71" s="4">
        <v>28</v>
      </c>
      <c r="F71" s="4">
        <f>Sales_data[[#This Row],[Selling Price (PHP)]]-Sales_data[[#This Row],[Base Price (PHP)]]</f>
        <v>4.5</v>
      </c>
      <c r="G71" s="4">
        <v>9</v>
      </c>
      <c r="H71" s="4">
        <f>Sales_data[[#This Row],[Quantity]]*Sales_data[[#This Row],[Base Price (PHP)]]</f>
        <v>211.5</v>
      </c>
      <c r="I71" s="4">
        <f>Sales_data[[#This Row],[Selling Price (PHP)]]*Sales_data[[#This Row],[Quantity]]</f>
        <v>252</v>
      </c>
      <c r="J71" s="4">
        <f>Sales_data[[#This Row],[Revenue]]*Sales_data[[#This Row],[Quantity]]</f>
        <v>40.5</v>
      </c>
      <c r="K71" s="4" t="s">
        <v>124</v>
      </c>
    </row>
    <row r="72" spans="1:11" x14ac:dyDescent="0.25">
      <c r="A72" s="3">
        <v>45020</v>
      </c>
      <c r="B72" s="1" t="s">
        <v>30</v>
      </c>
      <c r="C72" s="1" t="s">
        <v>125</v>
      </c>
      <c r="D72" s="4">
        <v>12.33</v>
      </c>
      <c r="E72" s="4">
        <v>17</v>
      </c>
      <c r="F72" s="4">
        <f>Sales_data[[#This Row],[Selling Price (PHP)]]-Sales_data[[#This Row],[Base Price (PHP)]]</f>
        <v>4.67</v>
      </c>
      <c r="G72" s="4">
        <v>7</v>
      </c>
      <c r="H72" s="4">
        <f>Sales_data[[#This Row],[Quantity]]*Sales_data[[#This Row],[Base Price (PHP)]]</f>
        <v>86.31</v>
      </c>
      <c r="I72" s="4">
        <f>Sales_data[[#This Row],[Selling Price (PHP)]]*Sales_data[[#This Row],[Quantity]]</f>
        <v>119</v>
      </c>
      <c r="J72" s="4">
        <f>Sales_data[[#This Row],[Revenue]]*Sales_data[[#This Row],[Quantity]]</f>
        <v>32.69</v>
      </c>
      <c r="K72" s="4" t="s">
        <v>126</v>
      </c>
    </row>
    <row r="73" spans="1:11" x14ac:dyDescent="0.25">
      <c r="A73" s="3">
        <v>45022</v>
      </c>
      <c r="B73" s="1" t="s">
        <v>30</v>
      </c>
      <c r="C73" s="1" t="s">
        <v>119</v>
      </c>
      <c r="D73" s="4">
        <v>14</v>
      </c>
      <c r="E73" s="4">
        <v>19</v>
      </c>
      <c r="F73" s="4">
        <f>Sales_data[[#This Row],[Selling Price (PHP)]]-Sales_data[[#This Row],[Base Price (PHP)]]</f>
        <v>5</v>
      </c>
      <c r="G73" s="4">
        <v>1</v>
      </c>
      <c r="H73" s="4">
        <f>Sales_data[[#This Row],[Quantity]]*Sales_data[[#This Row],[Base Price (PHP)]]</f>
        <v>14</v>
      </c>
      <c r="I73" s="4">
        <f>Sales_data[[#This Row],[Selling Price (PHP)]]*Sales_data[[#This Row],[Quantity]]</f>
        <v>19</v>
      </c>
      <c r="J73" s="4">
        <f>Sales_data[[#This Row],[Revenue]]*Sales_data[[#This Row],[Quantity]]</f>
        <v>5</v>
      </c>
      <c r="K73" s="4" t="s">
        <v>127</v>
      </c>
    </row>
    <row r="74" spans="1:11" x14ac:dyDescent="0.25">
      <c r="A74" s="3">
        <v>45022</v>
      </c>
      <c r="B74" s="1" t="s">
        <v>74</v>
      </c>
      <c r="C74" s="1" t="s">
        <v>78</v>
      </c>
      <c r="D74" s="4">
        <v>13</v>
      </c>
      <c r="E74" s="4">
        <v>18</v>
      </c>
      <c r="F74" s="4">
        <f>Sales_data[[#This Row],[Selling Price (PHP)]]-Sales_data[[#This Row],[Base Price (PHP)]]</f>
        <v>5</v>
      </c>
      <c r="G74" s="4">
        <v>6</v>
      </c>
      <c r="H74" s="4">
        <f>Sales_data[[#This Row],[Quantity]]*Sales_data[[#This Row],[Base Price (PHP)]]</f>
        <v>78</v>
      </c>
      <c r="I74" s="4">
        <f>Sales_data[[#This Row],[Selling Price (PHP)]]*Sales_data[[#This Row],[Quantity]]</f>
        <v>108</v>
      </c>
      <c r="J74" s="4">
        <f>Sales_data[[#This Row],[Revenue]]*Sales_data[[#This Row],[Quantity]]</f>
        <v>30</v>
      </c>
      <c r="K74" s="4" t="s">
        <v>128</v>
      </c>
    </row>
    <row r="75" spans="1:11" x14ac:dyDescent="0.25">
      <c r="A75" s="3">
        <v>45022</v>
      </c>
      <c r="B75" s="1" t="s">
        <v>21</v>
      </c>
      <c r="C75" s="1" t="s">
        <v>112</v>
      </c>
      <c r="D75" s="4">
        <v>12.5</v>
      </c>
      <c r="E75" s="4">
        <v>16</v>
      </c>
      <c r="F75" s="4">
        <f>Sales_data[[#This Row],[Selling Price (PHP)]]-Sales_data[[#This Row],[Base Price (PHP)]]</f>
        <v>3.5</v>
      </c>
      <c r="G75" s="4">
        <v>6</v>
      </c>
      <c r="H75" s="4">
        <f>Sales_data[[#This Row],[Quantity]]*Sales_data[[#This Row],[Base Price (PHP)]]</f>
        <v>75</v>
      </c>
      <c r="I75" s="4">
        <f>Sales_data[[#This Row],[Selling Price (PHP)]]*Sales_data[[#This Row],[Quantity]]</f>
        <v>96</v>
      </c>
      <c r="J75" s="4">
        <f>Sales_data[[#This Row],[Revenue]]*Sales_data[[#This Row],[Quantity]]</f>
        <v>21</v>
      </c>
      <c r="K75" s="4" t="s">
        <v>129</v>
      </c>
    </row>
    <row r="76" spans="1:11" x14ac:dyDescent="0.25">
      <c r="A76" s="3">
        <v>45022</v>
      </c>
      <c r="B76" s="1" t="s">
        <v>10</v>
      </c>
      <c r="C76" s="1" t="s">
        <v>43</v>
      </c>
      <c r="D76" s="4">
        <v>43.5</v>
      </c>
      <c r="E76" s="4">
        <v>55</v>
      </c>
      <c r="F76" s="4">
        <f>Sales_data[[#This Row],[Selling Price (PHP)]]-Sales_data[[#This Row],[Base Price (PHP)]]</f>
        <v>11.5</v>
      </c>
      <c r="G76" s="4">
        <v>10</v>
      </c>
      <c r="H76" s="4">
        <f>Sales_data[[#This Row],[Quantity]]*Sales_data[[#This Row],[Base Price (PHP)]]</f>
        <v>435</v>
      </c>
      <c r="I76" s="4">
        <f>Sales_data[[#This Row],[Selling Price (PHP)]]*Sales_data[[#This Row],[Quantity]]</f>
        <v>550</v>
      </c>
      <c r="J76" s="4">
        <f>Sales_data[[#This Row],[Revenue]]*Sales_data[[#This Row],[Quantity]]</f>
        <v>115</v>
      </c>
      <c r="K76" s="4" t="s">
        <v>130</v>
      </c>
    </row>
    <row r="77" spans="1:11" x14ac:dyDescent="0.25">
      <c r="A77" s="3">
        <v>45023</v>
      </c>
      <c r="B77" s="1" t="s">
        <v>7</v>
      </c>
      <c r="C77" s="1" t="s">
        <v>131</v>
      </c>
      <c r="D77" s="4">
        <v>8.75</v>
      </c>
      <c r="E77" s="4">
        <v>14</v>
      </c>
      <c r="F77" s="4">
        <f>Sales_data[[#This Row],[Selling Price (PHP)]]-Sales_data[[#This Row],[Base Price (PHP)]]</f>
        <v>5.25</v>
      </c>
      <c r="G77" s="4">
        <v>8</v>
      </c>
      <c r="H77" s="4">
        <f>Sales_data[[#This Row],[Quantity]]*Sales_data[[#This Row],[Base Price (PHP)]]</f>
        <v>70</v>
      </c>
      <c r="I77" s="4">
        <f>Sales_data[[#This Row],[Selling Price (PHP)]]*Sales_data[[#This Row],[Quantity]]</f>
        <v>112</v>
      </c>
      <c r="J77" s="4">
        <f>Sales_data[[#This Row],[Revenue]]*Sales_data[[#This Row],[Quantity]]</f>
        <v>42</v>
      </c>
      <c r="K77" s="4" t="s">
        <v>132</v>
      </c>
    </row>
    <row r="78" spans="1:11" x14ac:dyDescent="0.25">
      <c r="A78" s="3">
        <v>45023</v>
      </c>
      <c r="B78" s="1" t="s">
        <v>7</v>
      </c>
      <c r="C78" s="1" t="s">
        <v>133</v>
      </c>
      <c r="D78" s="4">
        <v>10.25</v>
      </c>
      <c r="E78" s="4">
        <v>15</v>
      </c>
      <c r="F78" s="4">
        <f>Sales_data[[#This Row],[Selling Price (PHP)]]-Sales_data[[#This Row],[Base Price (PHP)]]</f>
        <v>4.75</v>
      </c>
      <c r="G78" s="4">
        <v>6</v>
      </c>
      <c r="H78" s="4">
        <f>Sales_data[[#This Row],[Quantity]]*Sales_data[[#This Row],[Base Price (PHP)]]</f>
        <v>61.5</v>
      </c>
      <c r="I78" s="4">
        <f>Sales_data[[#This Row],[Selling Price (PHP)]]*Sales_data[[#This Row],[Quantity]]</f>
        <v>90</v>
      </c>
      <c r="J78" s="4">
        <f>Sales_data[[#This Row],[Revenue]]*Sales_data[[#This Row],[Quantity]]</f>
        <v>28.5</v>
      </c>
      <c r="K78" s="4" t="s">
        <v>134</v>
      </c>
    </row>
    <row r="79" spans="1:11" x14ac:dyDescent="0.25">
      <c r="A79" s="3">
        <v>45024</v>
      </c>
      <c r="B79" s="1" t="s">
        <v>30</v>
      </c>
      <c r="C79" s="1" t="s">
        <v>119</v>
      </c>
      <c r="D79" s="4">
        <v>14</v>
      </c>
      <c r="E79" s="4">
        <v>19</v>
      </c>
      <c r="F79" s="4">
        <f>Sales_data[[#This Row],[Selling Price (PHP)]]-Sales_data[[#This Row],[Base Price (PHP)]]</f>
        <v>5</v>
      </c>
      <c r="G79" s="4">
        <v>10</v>
      </c>
      <c r="H79" s="4">
        <f>Sales_data[[#This Row],[Quantity]]*Sales_data[[#This Row],[Base Price (PHP)]]</f>
        <v>140</v>
      </c>
      <c r="I79" s="4">
        <f>Sales_data[[#This Row],[Selling Price (PHP)]]*Sales_data[[#This Row],[Quantity]]</f>
        <v>190</v>
      </c>
      <c r="J79" s="4">
        <f>Sales_data[[#This Row],[Revenue]]*Sales_data[[#This Row],[Quantity]]</f>
        <v>50</v>
      </c>
      <c r="K79" s="4" t="s">
        <v>135</v>
      </c>
    </row>
    <row r="80" spans="1:11" x14ac:dyDescent="0.25">
      <c r="A80" s="3">
        <v>45024</v>
      </c>
      <c r="B80" s="1" t="s">
        <v>91</v>
      </c>
      <c r="C80" s="1" t="s">
        <v>92</v>
      </c>
      <c r="D80" s="4">
        <v>15.5</v>
      </c>
      <c r="E80" s="4">
        <v>20</v>
      </c>
      <c r="F80" s="4">
        <f>Sales_data[[#This Row],[Selling Price (PHP)]]-Sales_data[[#This Row],[Base Price (PHP)]]</f>
        <v>4.5</v>
      </c>
      <c r="G80" s="4">
        <v>8</v>
      </c>
      <c r="H80" s="4">
        <f>Sales_data[[#This Row],[Quantity]]*Sales_data[[#This Row],[Base Price (PHP)]]</f>
        <v>124</v>
      </c>
      <c r="I80" s="4">
        <f>Sales_data[[#This Row],[Selling Price (PHP)]]*Sales_data[[#This Row],[Quantity]]</f>
        <v>160</v>
      </c>
      <c r="J80" s="4">
        <f>Sales_data[[#This Row],[Revenue]]*Sales_data[[#This Row],[Quantity]]</f>
        <v>36</v>
      </c>
      <c r="K80" s="4" t="s">
        <v>136</v>
      </c>
    </row>
    <row r="81" spans="1:11" x14ac:dyDescent="0.25">
      <c r="A81" s="3">
        <v>45024</v>
      </c>
      <c r="B81" s="1" t="s">
        <v>10</v>
      </c>
      <c r="C81" s="1" t="s">
        <v>137</v>
      </c>
      <c r="D81" s="4">
        <v>12.5</v>
      </c>
      <c r="E81" s="4">
        <v>17</v>
      </c>
      <c r="F81" s="4">
        <f>Sales_data[[#This Row],[Selling Price (PHP)]]-Sales_data[[#This Row],[Base Price (PHP)]]</f>
        <v>4.5</v>
      </c>
      <c r="G81" s="4">
        <v>5</v>
      </c>
      <c r="H81" s="4">
        <f>Sales_data[[#This Row],[Quantity]]*Sales_data[[#This Row],[Base Price (PHP)]]</f>
        <v>62.5</v>
      </c>
      <c r="I81" s="4">
        <f>Sales_data[[#This Row],[Selling Price (PHP)]]*Sales_data[[#This Row],[Quantity]]</f>
        <v>85</v>
      </c>
      <c r="J81" s="4">
        <f>Sales_data[[#This Row],[Revenue]]*Sales_data[[#This Row],[Quantity]]</f>
        <v>22.5</v>
      </c>
      <c r="K81" s="4" t="s">
        <v>138</v>
      </c>
    </row>
    <row r="82" spans="1:11" x14ac:dyDescent="0.25">
      <c r="A82" s="3">
        <v>45024</v>
      </c>
      <c r="B82" s="1" t="s">
        <v>24</v>
      </c>
      <c r="C82" s="1" t="s">
        <v>116</v>
      </c>
      <c r="D82" s="4">
        <v>7.5</v>
      </c>
      <c r="E82" s="4">
        <v>12</v>
      </c>
      <c r="F82" s="4">
        <f>Sales_data[[#This Row],[Selling Price (PHP)]]-Sales_data[[#This Row],[Base Price (PHP)]]</f>
        <v>4.5</v>
      </c>
      <c r="G82" s="4">
        <v>7</v>
      </c>
      <c r="H82" s="4">
        <f>Sales_data[[#This Row],[Quantity]]*Sales_data[[#This Row],[Base Price (PHP)]]</f>
        <v>52.5</v>
      </c>
      <c r="I82" s="4">
        <f>Sales_data[[#This Row],[Selling Price (PHP)]]*Sales_data[[#This Row],[Quantity]]</f>
        <v>84</v>
      </c>
      <c r="J82" s="4">
        <f>Sales_data[[#This Row],[Revenue]]*Sales_data[[#This Row],[Quantity]]</f>
        <v>31.5</v>
      </c>
      <c r="K82" s="4" t="s">
        <v>139</v>
      </c>
    </row>
    <row r="83" spans="1:11" x14ac:dyDescent="0.25">
      <c r="A83" s="3">
        <v>45024</v>
      </c>
      <c r="B83" s="1" t="s">
        <v>24</v>
      </c>
      <c r="C83" s="1" t="s">
        <v>116</v>
      </c>
      <c r="D83" s="4">
        <v>7.5</v>
      </c>
      <c r="E83" s="4">
        <v>12</v>
      </c>
      <c r="F83" s="4">
        <f>Sales_data[[#This Row],[Selling Price (PHP)]]-Sales_data[[#This Row],[Base Price (PHP)]]</f>
        <v>4.5</v>
      </c>
      <c r="G83" s="4">
        <v>8</v>
      </c>
      <c r="H83" s="4">
        <f>Sales_data[[#This Row],[Quantity]]*Sales_data[[#This Row],[Base Price (PHP)]]</f>
        <v>60</v>
      </c>
      <c r="I83" s="4">
        <f>Sales_data[[#This Row],[Selling Price (PHP)]]*Sales_data[[#This Row],[Quantity]]</f>
        <v>96</v>
      </c>
      <c r="J83" s="4">
        <f>Sales_data[[#This Row],[Revenue]]*Sales_data[[#This Row],[Quantity]]</f>
        <v>36</v>
      </c>
      <c r="K83" s="4" t="s">
        <v>140</v>
      </c>
    </row>
    <row r="84" spans="1:11" x14ac:dyDescent="0.25">
      <c r="A84" s="3">
        <v>45024</v>
      </c>
      <c r="B84" s="1" t="s">
        <v>7</v>
      </c>
      <c r="C84" s="1" t="s">
        <v>141</v>
      </c>
      <c r="D84" s="4">
        <v>12.29</v>
      </c>
      <c r="E84" s="4">
        <v>17</v>
      </c>
      <c r="F84" s="4">
        <f>Sales_data[[#This Row],[Selling Price (PHP)]]-Sales_data[[#This Row],[Base Price (PHP)]]</f>
        <v>4.7100000000000009</v>
      </c>
      <c r="G84" s="4">
        <v>4</v>
      </c>
      <c r="H84" s="4">
        <f>Sales_data[[#This Row],[Quantity]]*Sales_data[[#This Row],[Base Price (PHP)]]</f>
        <v>49.16</v>
      </c>
      <c r="I84" s="4">
        <f>Sales_data[[#This Row],[Selling Price (PHP)]]*Sales_data[[#This Row],[Quantity]]</f>
        <v>68</v>
      </c>
      <c r="J84" s="4">
        <f>Sales_data[[#This Row],[Revenue]]*Sales_data[[#This Row],[Quantity]]</f>
        <v>18.840000000000003</v>
      </c>
      <c r="K84" s="4" t="s">
        <v>142</v>
      </c>
    </row>
    <row r="85" spans="1:11" x14ac:dyDescent="0.25">
      <c r="A85" s="3">
        <v>45025</v>
      </c>
      <c r="B85" s="1" t="s">
        <v>30</v>
      </c>
      <c r="C85" s="1" t="s">
        <v>119</v>
      </c>
      <c r="D85" s="4">
        <v>14</v>
      </c>
      <c r="E85" s="4">
        <v>19</v>
      </c>
      <c r="F85" s="4">
        <f>Sales_data[[#This Row],[Selling Price (PHP)]]-Sales_data[[#This Row],[Base Price (PHP)]]</f>
        <v>5</v>
      </c>
      <c r="G85" s="4">
        <v>4</v>
      </c>
      <c r="H85" s="4">
        <f>Sales_data[[#This Row],[Quantity]]*Sales_data[[#This Row],[Base Price (PHP)]]</f>
        <v>56</v>
      </c>
      <c r="I85" s="4">
        <f>Sales_data[[#This Row],[Selling Price (PHP)]]*Sales_data[[#This Row],[Quantity]]</f>
        <v>76</v>
      </c>
      <c r="J85" s="4">
        <f>Sales_data[[#This Row],[Revenue]]*Sales_data[[#This Row],[Quantity]]</f>
        <v>20</v>
      </c>
      <c r="K85" s="4" t="s">
        <v>143</v>
      </c>
    </row>
    <row r="86" spans="1:11" x14ac:dyDescent="0.25">
      <c r="A86" s="3">
        <v>45025</v>
      </c>
      <c r="B86" s="1" t="s">
        <v>21</v>
      </c>
      <c r="C86" s="1" t="s">
        <v>28</v>
      </c>
      <c r="D86" s="4">
        <v>21.17</v>
      </c>
      <c r="E86" s="4">
        <v>25</v>
      </c>
      <c r="F86" s="4">
        <f>Sales_data[[#This Row],[Selling Price (PHP)]]-Sales_data[[#This Row],[Base Price (PHP)]]</f>
        <v>3.8299999999999983</v>
      </c>
      <c r="G86" s="4">
        <v>5</v>
      </c>
      <c r="H86" s="4">
        <f>Sales_data[[#This Row],[Quantity]]*Sales_data[[#This Row],[Base Price (PHP)]]</f>
        <v>105.85000000000001</v>
      </c>
      <c r="I86" s="4">
        <f>Sales_data[[#This Row],[Selling Price (PHP)]]*Sales_data[[#This Row],[Quantity]]</f>
        <v>125</v>
      </c>
      <c r="J86" s="4">
        <f>Sales_data[[#This Row],[Revenue]]*Sales_data[[#This Row],[Quantity]]</f>
        <v>19.149999999999991</v>
      </c>
      <c r="K86" s="4" t="s">
        <v>144</v>
      </c>
    </row>
    <row r="87" spans="1:11" x14ac:dyDescent="0.25">
      <c r="A87" s="3">
        <v>45025</v>
      </c>
      <c r="B87" s="1" t="s">
        <v>24</v>
      </c>
      <c r="C87" s="1" t="s">
        <v>145</v>
      </c>
      <c r="D87" s="4">
        <v>9.5</v>
      </c>
      <c r="E87" s="4">
        <v>14</v>
      </c>
      <c r="F87" s="4">
        <f>Sales_data[[#This Row],[Selling Price (PHP)]]-Sales_data[[#This Row],[Base Price (PHP)]]</f>
        <v>4.5</v>
      </c>
      <c r="G87" s="4">
        <v>8</v>
      </c>
      <c r="H87" s="4">
        <f>Sales_data[[#This Row],[Quantity]]*Sales_data[[#This Row],[Base Price (PHP)]]</f>
        <v>76</v>
      </c>
      <c r="I87" s="4">
        <f>Sales_data[[#This Row],[Selling Price (PHP)]]*Sales_data[[#This Row],[Quantity]]</f>
        <v>112</v>
      </c>
      <c r="J87" s="4">
        <f>Sales_data[[#This Row],[Revenue]]*Sales_data[[#This Row],[Quantity]]</f>
        <v>36</v>
      </c>
      <c r="K87" s="4" t="s">
        <v>146</v>
      </c>
    </row>
    <row r="88" spans="1:11" x14ac:dyDescent="0.25">
      <c r="A88" s="3">
        <v>45025</v>
      </c>
      <c r="B88" s="1" t="s">
        <v>7</v>
      </c>
      <c r="C88" s="1" t="s">
        <v>8</v>
      </c>
      <c r="D88" s="4">
        <v>8.17</v>
      </c>
      <c r="E88" s="4">
        <v>13</v>
      </c>
      <c r="F88" s="4">
        <f>Sales_data[[#This Row],[Selling Price (PHP)]]-Sales_data[[#This Row],[Base Price (PHP)]]</f>
        <v>4.83</v>
      </c>
      <c r="G88" s="4">
        <v>7</v>
      </c>
      <c r="H88" s="4">
        <f>Sales_data[[#This Row],[Quantity]]*Sales_data[[#This Row],[Base Price (PHP)]]</f>
        <v>57.19</v>
      </c>
      <c r="I88" s="4">
        <f>Sales_data[[#This Row],[Selling Price (PHP)]]*Sales_data[[#This Row],[Quantity]]</f>
        <v>91</v>
      </c>
      <c r="J88" s="4">
        <f>Sales_data[[#This Row],[Revenue]]*Sales_data[[#This Row],[Quantity]]</f>
        <v>33.81</v>
      </c>
      <c r="K88" s="4" t="s">
        <v>147</v>
      </c>
    </row>
    <row r="89" spans="1:11" x14ac:dyDescent="0.25">
      <c r="A89" s="3">
        <v>45026</v>
      </c>
      <c r="B89" s="1" t="s">
        <v>45</v>
      </c>
      <c r="C89" s="1" t="s">
        <v>148</v>
      </c>
      <c r="D89" s="4">
        <v>52</v>
      </c>
      <c r="E89" s="4">
        <v>60</v>
      </c>
      <c r="F89" s="4">
        <f>Sales_data[[#This Row],[Selling Price (PHP)]]-Sales_data[[#This Row],[Base Price (PHP)]]</f>
        <v>8</v>
      </c>
      <c r="G89" s="4">
        <v>2</v>
      </c>
      <c r="H89" s="4">
        <f>Sales_data[[#This Row],[Quantity]]*Sales_data[[#This Row],[Base Price (PHP)]]</f>
        <v>104</v>
      </c>
      <c r="I89" s="4">
        <f>Sales_data[[#This Row],[Selling Price (PHP)]]*Sales_data[[#This Row],[Quantity]]</f>
        <v>120</v>
      </c>
      <c r="J89" s="4">
        <f>Sales_data[[#This Row],[Revenue]]*Sales_data[[#This Row],[Quantity]]</f>
        <v>16</v>
      </c>
      <c r="K89" s="4" t="s">
        <v>149</v>
      </c>
    </row>
    <row r="90" spans="1:11" x14ac:dyDescent="0.25">
      <c r="A90" s="3">
        <v>45027</v>
      </c>
      <c r="B90" s="1" t="s">
        <v>48</v>
      </c>
      <c r="C90" s="1" t="s">
        <v>150</v>
      </c>
      <c r="D90" s="4">
        <v>39</v>
      </c>
      <c r="E90" s="4">
        <v>45</v>
      </c>
      <c r="F90" s="4">
        <f>Sales_data[[#This Row],[Selling Price (PHP)]]-Sales_data[[#This Row],[Base Price (PHP)]]</f>
        <v>6</v>
      </c>
      <c r="G90" s="4">
        <v>9</v>
      </c>
      <c r="H90" s="4">
        <f>Sales_data[[#This Row],[Quantity]]*Sales_data[[#This Row],[Base Price (PHP)]]</f>
        <v>351</v>
      </c>
      <c r="I90" s="4">
        <f>Sales_data[[#This Row],[Selling Price (PHP)]]*Sales_data[[#This Row],[Quantity]]</f>
        <v>405</v>
      </c>
      <c r="J90" s="4">
        <f>Sales_data[[#This Row],[Revenue]]*Sales_data[[#This Row],[Quantity]]</f>
        <v>54</v>
      </c>
      <c r="K90" s="4" t="s">
        <v>151</v>
      </c>
    </row>
    <row r="91" spans="1:11" x14ac:dyDescent="0.25">
      <c r="A91" s="3">
        <v>45027</v>
      </c>
      <c r="B91" s="1" t="s">
        <v>48</v>
      </c>
      <c r="C91" s="1" t="s">
        <v>150</v>
      </c>
      <c r="D91" s="4">
        <v>39</v>
      </c>
      <c r="E91" s="4">
        <v>45</v>
      </c>
      <c r="F91" s="4">
        <f>Sales_data[[#This Row],[Selling Price (PHP)]]-Sales_data[[#This Row],[Base Price (PHP)]]</f>
        <v>6</v>
      </c>
      <c r="G91" s="4">
        <v>1</v>
      </c>
      <c r="H91" s="4">
        <f>Sales_data[[#This Row],[Quantity]]*Sales_data[[#This Row],[Base Price (PHP)]]</f>
        <v>39</v>
      </c>
      <c r="I91" s="4">
        <f>Sales_data[[#This Row],[Selling Price (PHP)]]*Sales_data[[#This Row],[Quantity]]</f>
        <v>45</v>
      </c>
      <c r="J91" s="4">
        <f>Sales_data[[#This Row],[Revenue]]*Sales_data[[#This Row],[Quantity]]</f>
        <v>6</v>
      </c>
      <c r="K91" s="4" t="s">
        <v>152</v>
      </c>
    </row>
    <row r="92" spans="1:11" x14ac:dyDescent="0.25">
      <c r="A92" s="3">
        <v>45027</v>
      </c>
      <c r="B92" s="1" t="s">
        <v>18</v>
      </c>
      <c r="C92" s="1" t="s">
        <v>153</v>
      </c>
      <c r="D92" s="4">
        <v>12.5</v>
      </c>
      <c r="E92" s="4">
        <v>18</v>
      </c>
      <c r="F92" s="4">
        <f>Sales_data[[#This Row],[Selling Price (PHP)]]-Sales_data[[#This Row],[Base Price (PHP)]]</f>
        <v>5.5</v>
      </c>
      <c r="G92" s="4">
        <v>6</v>
      </c>
      <c r="H92" s="4">
        <f>Sales_data[[#This Row],[Quantity]]*Sales_data[[#This Row],[Base Price (PHP)]]</f>
        <v>75</v>
      </c>
      <c r="I92" s="4">
        <f>Sales_data[[#This Row],[Selling Price (PHP)]]*Sales_data[[#This Row],[Quantity]]</f>
        <v>108</v>
      </c>
      <c r="J92" s="4">
        <f>Sales_data[[#This Row],[Revenue]]*Sales_data[[#This Row],[Quantity]]</f>
        <v>33</v>
      </c>
      <c r="K92" s="4" t="s">
        <v>154</v>
      </c>
    </row>
    <row r="93" spans="1:11" x14ac:dyDescent="0.25">
      <c r="A93" s="3">
        <v>45027</v>
      </c>
      <c r="B93" s="1" t="s">
        <v>21</v>
      </c>
      <c r="C93" s="1" t="s">
        <v>28</v>
      </c>
      <c r="D93" s="4">
        <v>21.17</v>
      </c>
      <c r="E93" s="4">
        <v>25</v>
      </c>
      <c r="F93" s="4">
        <f>Sales_data[[#This Row],[Selling Price (PHP)]]-Sales_data[[#This Row],[Base Price (PHP)]]</f>
        <v>3.8299999999999983</v>
      </c>
      <c r="G93" s="4">
        <v>2</v>
      </c>
      <c r="H93" s="4">
        <f>Sales_data[[#This Row],[Quantity]]*Sales_data[[#This Row],[Base Price (PHP)]]</f>
        <v>42.34</v>
      </c>
      <c r="I93" s="4">
        <f>Sales_data[[#This Row],[Selling Price (PHP)]]*Sales_data[[#This Row],[Quantity]]</f>
        <v>50</v>
      </c>
      <c r="J93" s="4">
        <f>Sales_data[[#This Row],[Revenue]]*Sales_data[[#This Row],[Quantity]]</f>
        <v>7.6599999999999966</v>
      </c>
      <c r="K93" s="4" t="s">
        <v>155</v>
      </c>
    </row>
    <row r="94" spans="1:11" x14ac:dyDescent="0.25">
      <c r="A94" s="3">
        <v>45027</v>
      </c>
      <c r="B94" s="1" t="s">
        <v>7</v>
      </c>
      <c r="C94" s="1" t="s">
        <v>94</v>
      </c>
      <c r="D94" s="4">
        <v>9.83</v>
      </c>
      <c r="E94" s="4">
        <v>14</v>
      </c>
      <c r="F94" s="4">
        <f>Sales_data[[#This Row],[Selling Price (PHP)]]-Sales_data[[#This Row],[Base Price (PHP)]]</f>
        <v>4.17</v>
      </c>
      <c r="G94" s="4">
        <v>7</v>
      </c>
      <c r="H94" s="4">
        <f>Sales_data[[#This Row],[Quantity]]*Sales_data[[#This Row],[Base Price (PHP)]]</f>
        <v>68.81</v>
      </c>
      <c r="I94" s="4">
        <f>Sales_data[[#This Row],[Selling Price (PHP)]]*Sales_data[[#This Row],[Quantity]]</f>
        <v>98</v>
      </c>
      <c r="J94" s="4">
        <f>Sales_data[[#This Row],[Revenue]]*Sales_data[[#This Row],[Quantity]]</f>
        <v>29.189999999999998</v>
      </c>
      <c r="K94" s="4" t="s">
        <v>156</v>
      </c>
    </row>
    <row r="95" spans="1:11" x14ac:dyDescent="0.25">
      <c r="A95" s="3">
        <v>45028</v>
      </c>
      <c r="B95" s="1" t="s">
        <v>30</v>
      </c>
      <c r="C95" s="1" t="s">
        <v>119</v>
      </c>
      <c r="D95" s="4">
        <v>14</v>
      </c>
      <c r="E95" s="4">
        <v>19</v>
      </c>
      <c r="F95" s="4">
        <f>Sales_data[[#This Row],[Selling Price (PHP)]]-Sales_data[[#This Row],[Base Price (PHP)]]</f>
        <v>5</v>
      </c>
      <c r="G95" s="4">
        <v>2</v>
      </c>
      <c r="H95" s="4">
        <f>Sales_data[[#This Row],[Quantity]]*Sales_data[[#This Row],[Base Price (PHP)]]</f>
        <v>28</v>
      </c>
      <c r="I95" s="4">
        <f>Sales_data[[#This Row],[Selling Price (PHP)]]*Sales_data[[#This Row],[Quantity]]</f>
        <v>38</v>
      </c>
      <c r="J95" s="4">
        <f>Sales_data[[#This Row],[Revenue]]*Sales_data[[#This Row],[Quantity]]</f>
        <v>10</v>
      </c>
      <c r="K95" s="4" t="s">
        <v>157</v>
      </c>
    </row>
    <row r="96" spans="1:11" x14ac:dyDescent="0.25">
      <c r="A96" s="3">
        <v>45028</v>
      </c>
      <c r="B96" s="1" t="s">
        <v>18</v>
      </c>
      <c r="C96" s="1" t="s">
        <v>33</v>
      </c>
      <c r="D96" s="4">
        <v>16.170000000000002</v>
      </c>
      <c r="E96" s="4">
        <v>20</v>
      </c>
      <c r="F96" s="4">
        <f>Sales_data[[#This Row],[Selling Price (PHP)]]-Sales_data[[#This Row],[Base Price (PHP)]]</f>
        <v>3.8299999999999983</v>
      </c>
      <c r="G96" s="4">
        <v>7</v>
      </c>
      <c r="H96" s="4">
        <f>Sales_data[[#This Row],[Quantity]]*Sales_data[[#This Row],[Base Price (PHP)]]</f>
        <v>113.19000000000001</v>
      </c>
      <c r="I96" s="4">
        <f>Sales_data[[#This Row],[Selling Price (PHP)]]*Sales_data[[#This Row],[Quantity]]</f>
        <v>140</v>
      </c>
      <c r="J96" s="4">
        <f>Sales_data[[#This Row],[Revenue]]*Sales_data[[#This Row],[Quantity]]</f>
        <v>26.809999999999988</v>
      </c>
      <c r="K96" s="4" t="s">
        <v>158</v>
      </c>
    </row>
    <row r="97" spans="1:11" x14ac:dyDescent="0.25">
      <c r="A97" s="3">
        <v>45028</v>
      </c>
      <c r="B97" s="1" t="s">
        <v>24</v>
      </c>
      <c r="C97" s="1" t="s">
        <v>25</v>
      </c>
      <c r="D97" s="4">
        <v>8.17</v>
      </c>
      <c r="E97" s="4">
        <v>13</v>
      </c>
      <c r="F97" s="4">
        <f>Sales_data[[#This Row],[Selling Price (PHP)]]-Sales_data[[#This Row],[Base Price (PHP)]]</f>
        <v>4.83</v>
      </c>
      <c r="G97" s="4">
        <v>3</v>
      </c>
      <c r="H97" s="4">
        <f>Sales_data[[#This Row],[Quantity]]*Sales_data[[#This Row],[Base Price (PHP)]]</f>
        <v>24.509999999999998</v>
      </c>
      <c r="I97" s="4">
        <f>Sales_data[[#This Row],[Selling Price (PHP)]]*Sales_data[[#This Row],[Quantity]]</f>
        <v>39</v>
      </c>
      <c r="J97" s="4">
        <f>Sales_data[[#This Row],[Revenue]]*Sales_data[[#This Row],[Quantity]]</f>
        <v>14.49</v>
      </c>
      <c r="K97" s="4" t="s">
        <v>159</v>
      </c>
    </row>
    <row r="98" spans="1:11" x14ac:dyDescent="0.25">
      <c r="A98" s="3">
        <v>45030</v>
      </c>
      <c r="B98" s="1" t="s">
        <v>7</v>
      </c>
      <c r="C98" s="1" t="s">
        <v>141</v>
      </c>
      <c r="D98" s="4">
        <v>12.29</v>
      </c>
      <c r="E98" s="4">
        <v>17</v>
      </c>
      <c r="F98" s="4">
        <f>Sales_data[[#This Row],[Selling Price (PHP)]]-Sales_data[[#This Row],[Base Price (PHP)]]</f>
        <v>4.7100000000000009</v>
      </c>
      <c r="G98" s="4">
        <v>7</v>
      </c>
      <c r="H98" s="4">
        <f>Sales_data[[#This Row],[Quantity]]*Sales_data[[#This Row],[Base Price (PHP)]]</f>
        <v>86.03</v>
      </c>
      <c r="I98" s="4">
        <f>Sales_data[[#This Row],[Selling Price (PHP)]]*Sales_data[[#This Row],[Quantity]]</f>
        <v>119</v>
      </c>
      <c r="J98" s="4">
        <f>Sales_data[[#This Row],[Revenue]]*Sales_data[[#This Row],[Quantity]]</f>
        <v>32.970000000000006</v>
      </c>
      <c r="K98" s="4" t="s">
        <v>160</v>
      </c>
    </row>
    <row r="99" spans="1:11" x14ac:dyDescent="0.25">
      <c r="A99" s="3">
        <v>45031</v>
      </c>
      <c r="B99" s="1" t="s">
        <v>71</v>
      </c>
      <c r="C99" s="1" t="s">
        <v>161</v>
      </c>
      <c r="D99" s="4">
        <v>48.67</v>
      </c>
      <c r="E99" s="4">
        <v>58</v>
      </c>
      <c r="F99" s="4">
        <f>Sales_data[[#This Row],[Selling Price (PHP)]]-Sales_data[[#This Row],[Base Price (PHP)]]</f>
        <v>9.3299999999999983</v>
      </c>
      <c r="G99" s="4">
        <v>6</v>
      </c>
      <c r="H99" s="4">
        <f>Sales_data[[#This Row],[Quantity]]*Sales_data[[#This Row],[Base Price (PHP)]]</f>
        <v>292.02</v>
      </c>
      <c r="I99" s="4">
        <f>Sales_data[[#This Row],[Selling Price (PHP)]]*Sales_data[[#This Row],[Quantity]]</f>
        <v>348</v>
      </c>
      <c r="J99" s="4">
        <f>Sales_data[[#This Row],[Revenue]]*Sales_data[[#This Row],[Quantity]]</f>
        <v>55.97999999999999</v>
      </c>
      <c r="K99" s="4" t="s">
        <v>162</v>
      </c>
    </row>
    <row r="100" spans="1:11" x14ac:dyDescent="0.25">
      <c r="A100" s="3">
        <v>45031</v>
      </c>
      <c r="B100" s="1" t="s">
        <v>71</v>
      </c>
      <c r="C100" s="1" t="s">
        <v>161</v>
      </c>
      <c r="D100" s="4">
        <v>48.67</v>
      </c>
      <c r="E100" s="4">
        <v>58</v>
      </c>
      <c r="F100" s="4">
        <f>Sales_data[[#This Row],[Selling Price (PHP)]]-Sales_data[[#This Row],[Base Price (PHP)]]</f>
        <v>9.3299999999999983</v>
      </c>
      <c r="G100" s="4">
        <v>7</v>
      </c>
      <c r="H100" s="4">
        <f>Sales_data[[#This Row],[Quantity]]*Sales_data[[#This Row],[Base Price (PHP)]]</f>
        <v>340.69</v>
      </c>
      <c r="I100" s="4">
        <f>Sales_data[[#This Row],[Selling Price (PHP)]]*Sales_data[[#This Row],[Quantity]]</f>
        <v>406</v>
      </c>
      <c r="J100" s="4">
        <f>Sales_data[[#This Row],[Revenue]]*Sales_data[[#This Row],[Quantity]]</f>
        <v>65.309999999999988</v>
      </c>
      <c r="K100" s="4" t="s">
        <v>163</v>
      </c>
    </row>
    <row r="101" spans="1:11" x14ac:dyDescent="0.25">
      <c r="A101" s="3">
        <v>45032</v>
      </c>
      <c r="B101" s="1" t="s">
        <v>14</v>
      </c>
      <c r="C101" s="1" t="s">
        <v>164</v>
      </c>
      <c r="D101" s="4">
        <v>15.65</v>
      </c>
      <c r="E101" s="4">
        <v>22</v>
      </c>
      <c r="F101" s="4">
        <f>Sales_data[[#This Row],[Selling Price (PHP)]]-Sales_data[[#This Row],[Base Price (PHP)]]</f>
        <v>6.35</v>
      </c>
      <c r="G101" s="4">
        <v>7</v>
      </c>
      <c r="H101" s="4">
        <f>Sales_data[[#This Row],[Quantity]]*Sales_data[[#This Row],[Base Price (PHP)]]</f>
        <v>109.55</v>
      </c>
      <c r="I101" s="4">
        <f>Sales_data[[#This Row],[Selling Price (PHP)]]*Sales_data[[#This Row],[Quantity]]</f>
        <v>154</v>
      </c>
      <c r="J101" s="4">
        <f>Sales_data[[#This Row],[Revenue]]*Sales_data[[#This Row],[Quantity]]</f>
        <v>44.449999999999996</v>
      </c>
      <c r="K101" s="4" t="s">
        <v>165</v>
      </c>
    </row>
    <row r="102" spans="1:11" x14ac:dyDescent="0.25">
      <c r="A102" s="3">
        <v>45032</v>
      </c>
      <c r="B102" s="1" t="s">
        <v>14</v>
      </c>
      <c r="C102" s="1" t="s">
        <v>164</v>
      </c>
      <c r="D102" s="4">
        <v>15.65</v>
      </c>
      <c r="E102" s="4">
        <v>22</v>
      </c>
      <c r="F102" s="4">
        <f>Sales_data[[#This Row],[Selling Price (PHP)]]-Sales_data[[#This Row],[Base Price (PHP)]]</f>
        <v>6.35</v>
      </c>
      <c r="G102" s="4">
        <v>2</v>
      </c>
      <c r="H102" s="4">
        <f>Sales_data[[#This Row],[Quantity]]*Sales_data[[#This Row],[Base Price (PHP)]]</f>
        <v>31.3</v>
      </c>
      <c r="I102" s="4">
        <f>Sales_data[[#This Row],[Selling Price (PHP)]]*Sales_data[[#This Row],[Quantity]]</f>
        <v>44</v>
      </c>
      <c r="J102" s="4">
        <f>Sales_data[[#This Row],[Revenue]]*Sales_data[[#This Row],[Quantity]]</f>
        <v>12.7</v>
      </c>
      <c r="K102" s="4" t="s">
        <v>166</v>
      </c>
    </row>
    <row r="103" spans="1:11" x14ac:dyDescent="0.25">
      <c r="A103" s="3">
        <v>45033</v>
      </c>
      <c r="B103" s="1" t="s">
        <v>18</v>
      </c>
      <c r="C103" s="1" t="s">
        <v>19</v>
      </c>
      <c r="D103" s="4">
        <v>18.5</v>
      </c>
      <c r="E103" s="4">
        <v>23</v>
      </c>
      <c r="F103" s="4">
        <f>Sales_data[[#This Row],[Selling Price (PHP)]]-Sales_data[[#This Row],[Base Price (PHP)]]</f>
        <v>4.5</v>
      </c>
      <c r="G103" s="4">
        <v>4</v>
      </c>
      <c r="H103" s="4">
        <f>Sales_data[[#This Row],[Quantity]]*Sales_data[[#This Row],[Base Price (PHP)]]</f>
        <v>74</v>
      </c>
      <c r="I103" s="4">
        <f>Sales_data[[#This Row],[Selling Price (PHP)]]*Sales_data[[#This Row],[Quantity]]</f>
        <v>92</v>
      </c>
      <c r="J103" s="4">
        <f>Sales_data[[#This Row],[Revenue]]*Sales_data[[#This Row],[Quantity]]</f>
        <v>18</v>
      </c>
      <c r="K103" s="4" t="s">
        <v>167</v>
      </c>
    </row>
    <row r="104" spans="1:11" x14ac:dyDescent="0.25">
      <c r="A104" s="3">
        <v>45034</v>
      </c>
      <c r="B104" s="1" t="s">
        <v>7</v>
      </c>
      <c r="C104" s="1" t="s">
        <v>94</v>
      </c>
      <c r="D104" s="4">
        <v>9.83</v>
      </c>
      <c r="E104" s="4">
        <v>14</v>
      </c>
      <c r="F104" s="4">
        <f>Sales_data[[#This Row],[Selling Price (PHP)]]-Sales_data[[#This Row],[Base Price (PHP)]]</f>
        <v>4.17</v>
      </c>
      <c r="G104" s="4">
        <v>8</v>
      </c>
      <c r="H104" s="4">
        <f>Sales_data[[#This Row],[Quantity]]*Sales_data[[#This Row],[Base Price (PHP)]]</f>
        <v>78.64</v>
      </c>
      <c r="I104" s="4">
        <f>Sales_data[[#This Row],[Selling Price (PHP)]]*Sales_data[[#This Row],[Quantity]]</f>
        <v>112</v>
      </c>
      <c r="J104" s="4">
        <f>Sales_data[[#This Row],[Revenue]]*Sales_data[[#This Row],[Quantity]]</f>
        <v>33.36</v>
      </c>
      <c r="K104" s="4" t="s">
        <v>168</v>
      </c>
    </row>
    <row r="105" spans="1:11" x14ac:dyDescent="0.25">
      <c r="A105" s="3">
        <v>45034</v>
      </c>
      <c r="B105" s="1" t="s">
        <v>7</v>
      </c>
      <c r="C105" s="1" t="s">
        <v>94</v>
      </c>
      <c r="D105" s="4">
        <v>9.83</v>
      </c>
      <c r="E105" s="4">
        <v>14</v>
      </c>
      <c r="F105" s="4">
        <f>Sales_data[[#This Row],[Selling Price (PHP)]]-Sales_data[[#This Row],[Base Price (PHP)]]</f>
        <v>4.17</v>
      </c>
      <c r="G105" s="4">
        <v>2</v>
      </c>
      <c r="H105" s="4">
        <f>Sales_data[[#This Row],[Quantity]]*Sales_data[[#This Row],[Base Price (PHP)]]</f>
        <v>19.66</v>
      </c>
      <c r="I105" s="4">
        <f>Sales_data[[#This Row],[Selling Price (PHP)]]*Sales_data[[#This Row],[Quantity]]</f>
        <v>28</v>
      </c>
      <c r="J105" s="4">
        <f>Sales_data[[#This Row],[Revenue]]*Sales_data[[#This Row],[Quantity]]</f>
        <v>8.34</v>
      </c>
      <c r="K105" s="4" t="s">
        <v>169</v>
      </c>
    </row>
    <row r="106" spans="1:11" x14ac:dyDescent="0.25">
      <c r="A106" s="3">
        <v>45034</v>
      </c>
      <c r="B106" s="1" t="s">
        <v>7</v>
      </c>
      <c r="C106" s="1" t="s">
        <v>133</v>
      </c>
      <c r="D106" s="4">
        <v>10.25</v>
      </c>
      <c r="E106" s="4">
        <v>15</v>
      </c>
      <c r="F106" s="4">
        <f>Sales_data[[#This Row],[Selling Price (PHP)]]-Sales_data[[#This Row],[Base Price (PHP)]]</f>
        <v>4.75</v>
      </c>
      <c r="G106" s="4">
        <v>9</v>
      </c>
      <c r="H106" s="4">
        <f>Sales_data[[#This Row],[Quantity]]*Sales_data[[#This Row],[Base Price (PHP)]]</f>
        <v>92.25</v>
      </c>
      <c r="I106" s="4">
        <f>Sales_data[[#This Row],[Selling Price (PHP)]]*Sales_data[[#This Row],[Quantity]]</f>
        <v>135</v>
      </c>
      <c r="J106" s="4">
        <f>Sales_data[[#This Row],[Revenue]]*Sales_data[[#This Row],[Quantity]]</f>
        <v>42.75</v>
      </c>
      <c r="K106" s="4" t="s">
        <v>170</v>
      </c>
    </row>
    <row r="107" spans="1:11" x14ac:dyDescent="0.25">
      <c r="A107" s="3">
        <v>45034</v>
      </c>
      <c r="B107" s="1" t="s">
        <v>7</v>
      </c>
      <c r="C107" s="1" t="s">
        <v>141</v>
      </c>
      <c r="D107" s="4">
        <v>12.29</v>
      </c>
      <c r="E107" s="4">
        <v>17</v>
      </c>
      <c r="F107" s="4">
        <f>Sales_data[[#This Row],[Selling Price (PHP)]]-Sales_data[[#This Row],[Base Price (PHP)]]</f>
        <v>4.7100000000000009</v>
      </c>
      <c r="G107" s="4">
        <v>8</v>
      </c>
      <c r="H107" s="4">
        <f>Sales_data[[#This Row],[Quantity]]*Sales_data[[#This Row],[Base Price (PHP)]]</f>
        <v>98.32</v>
      </c>
      <c r="I107" s="4">
        <f>Sales_data[[#This Row],[Selling Price (PHP)]]*Sales_data[[#This Row],[Quantity]]</f>
        <v>136</v>
      </c>
      <c r="J107" s="4">
        <f>Sales_data[[#This Row],[Revenue]]*Sales_data[[#This Row],[Quantity]]</f>
        <v>37.680000000000007</v>
      </c>
      <c r="K107" s="4" t="s">
        <v>171</v>
      </c>
    </row>
    <row r="108" spans="1:11" x14ac:dyDescent="0.25">
      <c r="A108" s="3">
        <v>45035</v>
      </c>
      <c r="B108" s="1" t="s">
        <v>71</v>
      </c>
      <c r="C108" s="1" t="s">
        <v>72</v>
      </c>
      <c r="D108" s="4">
        <v>22</v>
      </c>
      <c r="E108" s="4">
        <v>27</v>
      </c>
      <c r="F108" s="4">
        <f>Sales_data[[#This Row],[Selling Price (PHP)]]-Sales_data[[#This Row],[Base Price (PHP)]]</f>
        <v>5</v>
      </c>
      <c r="G108" s="4">
        <v>1</v>
      </c>
      <c r="H108" s="4">
        <f>Sales_data[[#This Row],[Quantity]]*Sales_data[[#This Row],[Base Price (PHP)]]</f>
        <v>22</v>
      </c>
      <c r="I108" s="4">
        <f>Sales_data[[#This Row],[Selling Price (PHP)]]*Sales_data[[#This Row],[Quantity]]</f>
        <v>27</v>
      </c>
      <c r="J108" s="4">
        <f>Sales_data[[#This Row],[Revenue]]*Sales_data[[#This Row],[Quantity]]</f>
        <v>5</v>
      </c>
      <c r="K108" s="4" t="s">
        <v>172</v>
      </c>
    </row>
    <row r="109" spans="1:11" x14ac:dyDescent="0.25">
      <c r="A109" s="3">
        <v>45035</v>
      </c>
      <c r="B109" s="1" t="s">
        <v>21</v>
      </c>
      <c r="C109" s="1" t="s">
        <v>173</v>
      </c>
      <c r="D109" s="4">
        <v>13.5</v>
      </c>
      <c r="E109" s="4">
        <v>18</v>
      </c>
      <c r="F109" s="4">
        <f>Sales_data[[#This Row],[Selling Price (PHP)]]-Sales_data[[#This Row],[Base Price (PHP)]]</f>
        <v>4.5</v>
      </c>
      <c r="G109" s="4">
        <v>2</v>
      </c>
      <c r="H109" s="4">
        <f>Sales_data[[#This Row],[Quantity]]*Sales_data[[#This Row],[Base Price (PHP)]]</f>
        <v>27</v>
      </c>
      <c r="I109" s="4">
        <f>Sales_data[[#This Row],[Selling Price (PHP)]]*Sales_data[[#This Row],[Quantity]]</f>
        <v>36</v>
      </c>
      <c r="J109" s="4">
        <f>Sales_data[[#This Row],[Revenue]]*Sales_data[[#This Row],[Quantity]]</f>
        <v>9</v>
      </c>
      <c r="K109" s="4" t="s">
        <v>174</v>
      </c>
    </row>
    <row r="110" spans="1:11" x14ac:dyDescent="0.25">
      <c r="A110" s="3">
        <v>45035</v>
      </c>
      <c r="B110" s="1" t="s">
        <v>24</v>
      </c>
      <c r="C110" s="1" t="s">
        <v>145</v>
      </c>
      <c r="D110" s="4">
        <v>9.5</v>
      </c>
      <c r="E110" s="4">
        <v>14</v>
      </c>
      <c r="F110" s="4">
        <f>Sales_data[[#This Row],[Selling Price (PHP)]]-Sales_data[[#This Row],[Base Price (PHP)]]</f>
        <v>4.5</v>
      </c>
      <c r="G110" s="4">
        <v>6</v>
      </c>
      <c r="H110" s="4">
        <f>Sales_data[[#This Row],[Quantity]]*Sales_data[[#This Row],[Base Price (PHP)]]</f>
        <v>57</v>
      </c>
      <c r="I110" s="4">
        <f>Sales_data[[#This Row],[Selling Price (PHP)]]*Sales_data[[#This Row],[Quantity]]</f>
        <v>84</v>
      </c>
      <c r="J110" s="4">
        <f>Sales_data[[#This Row],[Revenue]]*Sales_data[[#This Row],[Quantity]]</f>
        <v>27</v>
      </c>
      <c r="K110" s="4" t="s">
        <v>175</v>
      </c>
    </row>
    <row r="111" spans="1:11" x14ac:dyDescent="0.25">
      <c r="A111" s="3">
        <v>45035</v>
      </c>
      <c r="B111" s="1" t="s">
        <v>24</v>
      </c>
      <c r="C111" s="1" t="s">
        <v>145</v>
      </c>
      <c r="D111" s="4">
        <v>9.5</v>
      </c>
      <c r="E111" s="4">
        <v>14</v>
      </c>
      <c r="F111" s="4">
        <f>Sales_data[[#This Row],[Selling Price (PHP)]]-Sales_data[[#This Row],[Base Price (PHP)]]</f>
        <v>4.5</v>
      </c>
      <c r="G111" s="4">
        <v>9</v>
      </c>
      <c r="H111" s="4">
        <f>Sales_data[[#This Row],[Quantity]]*Sales_data[[#This Row],[Base Price (PHP)]]</f>
        <v>85.5</v>
      </c>
      <c r="I111" s="4">
        <f>Sales_data[[#This Row],[Selling Price (PHP)]]*Sales_data[[#This Row],[Quantity]]</f>
        <v>126</v>
      </c>
      <c r="J111" s="4">
        <f>Sales_data[[#This Row],[Revenue]]*Sales_data[[#This Row],[Quantity]]</f>
        <v>40.5</v>
      </c>
      <c r="K111" s="4" t="s">
        <v>176</v>
      </c>
    </row>
    <row r="112" spans="1:11" x14ac:dyDescent="0.25">
      <c r="A112" s="3">
        <v>45035</v>
      </c>
      <c r="B112" s="1" t="s">
        <v>7</v>
      </c>
      <c r="C112" s="1" t="s">
        <v>133</v>
      </c>
      <c r="D112" s="4">
        <v>10.25</v>
      </c>
      <c r="E112" s="4">
        <v>15</v>
      </c>
      <c r="F112" s="4">
        <f>Sales_data[[#This Row],[Selling Price (PHP)]]-Sales_data[[#This Row],[Base Price (PHP)]]</f>
        <v>4.75</v>
      </c>
      <c r="G112" s="4">
        <v>2</v>
      </c>
      <c r="H112" s="4">
        <f>Sales_data[[#This Row],[Quantity]]*Sales_data[[#This Row],[Base Price (PHP)]]</f>
        <v>20.5</v>
      </c>
      <c r="I112" s="4">
        <f>Sales_data[[#This Row],[Selling Price (PHP)]]*Sales_data[[#This Row],[Quantity]]</f>
        <v>30</v>
      </c>
      <c r="J112" s="4">
        <f>Sales_data[[#This Row],[Revenue]]*Sales_data[[#This Row],[Quantity]]</f>
        <v>9.5</v>
      </c>
      <c r="K112" s="4" t="s">
        <v>177</v>
      </c>
    </row>
    <row r="113" spans="1:11" x14ac:dyDescent="0.25">
      <c r="A113" s="3">
        <v>45036</v>
      </c>
      <c r="B113" s="1" t="s">
        <v>30</v>
      </c>
      <c r="C113" s="1" t="s">
        <v>125</v>
      </c>
      <c r="D113" s="4">
        <v>12.33</v>
      </c>
      <c r="E113" s="4">
        <v>17</v>
      </c>
      <c r="F113" s="4">
        <f>Sales_data[[#This Row],[Selling Price (PHP)]]-Sales_data[[#This Row],[Base Price (PHP)]]</f>
        <v>4.67</v>
      </c>
      <c r="G113" s="4">
        <v>4</v>
      </c>
      <c r="H113" s="4">
        <f>Sales_data[[#This Row],[Quantity]]*Sales_data[[#This Row],[Base Price (PHP)]]</f>
        <v>49.32</v>
      </c>
      <c r="I113" s="4">
        <f>Sales_data[[#This Row],[Selling Price (PHP)]]*Sales_data[[#This Row],[Quantity]]</f>
        <v>68</v>
      </c>
      <c r="J113" s="4">
        <f>Sales_data[[#This Row],[Revenue]]*Sales_data[[#This Row],[Quantity]]</f>
        <v>18.68</v>
      </c>
      <c r="K113" s="4" t="s">
        <v>178</v>
      </c>
    </row>
    <row r="114" spans="1:11" x14ac:dyDescent="0.25">
      <c r="A114" s="3">
        <v>45036</v>
      </c>
      <c r="B114" s="1" t="s">
        <v>91</v>
      </c>
      <c r="C114" s="1" t="s">
        <v>179</v>
      </c>
      <c r="D114" s="4">
        <v>14.7</v>
      </c>
      <c r="E114" s="4">
        <v>19</v>
      </c>
      <c r="F114" s="4">
        <f>Sales_data[[#This Row],[Selling Price (PHP)]]-Sales_data[[#This Row],[Base Price (PHP)]]</f>
        <v>4.3000000000000007</v>
      </c>
      <c r="G114" s="4">
        <v>10</v>
      </c>
      <c r="H114" s="4">
        <f>Sales_data[[#This Row],[Quantity]]*Sales_data[[#This Row],[Base Price (PHP)]]</f>
        <v>147</v>
      </c>
      <c r="I114" s="4">
        <f>Sales_data[[#This Row],[Selling Price (PHP)]]*Sales_data[[#This Row],[Quantity]]</f>
        <v>190</v>
      </c>
      <c r="J114" s="4">
        <f>Sales_data[[#This Row],[Revenue]]*Sales_data[[#This Row],[Quantity]]</f>
        <v>43.000000000000007</v>
      </c>
      <c r="K114" s="4" t="s">
        <v>180</v>
      </c>
    </row>
    <row r="115" spans="1:11" x14ac:dyDescent="0.25">
      <c r="A115" s="3">
        <v>45036</v>
      </c>
      <c r="B115" s="1" t="s">
        <v>81</v>
      </c>
      <c r="C115" s="1" t="s">
        <v>85</v>
      </c>
      <c r="D115" s="4">
        <v>2.4500000000000002</v>
      </c>
      <c r="E115" s="4">
        <v>4</v>
      </c>
      <c r="F115" s="4">
        <f>Sales_data[[#This Row],[Selling Price (PHP)]]-Sales_data[[#This Row],[Base Price (PHP)]]</f>
        <v>1.5499999999999998</v>
      </c>
      <c r="G115" s="4">
        <v>4</v>
      </c>
      <c r="H115" s="4">
        <f>Sales_data[[#This Row],[Quantity]]*Sales_data[[#This Row],[Base Price (PHP)]]</f>
        <v>9.8000000000000007</v>
      </c>
      <c r="I115" s="4">
        <f>Sales_data[[#This Row],[Selling Price (PHP)]]*Sales_data[[#This Row],[Quantity]]</f>
        <v>16</v>
      </c>
      <c r="J115" s="4">
        <f>Sales_data[[#This Row],[Revenue]]*Sales_data[[#This Row],[Quantity]]</f>
        <v>6.1999999999999993</v>
      </c>
      <c r="K115" s="4" t="s">
        <v>181</v>
      </c>
    </row>
    <row r="116" spans="1:11" x14ac:dyDescent="0.25">
      <c r="A116" s="3">
        <v>45036</v>
      </c>
      <c r="B116" s="1" t="s">
        <v>7</v>
      </c>
      <c r="C116" s="1" t="s">
        <v>141</v>
      </c>
      <c r="D116" s="4">
        <v>12.29</v>
      </c>
      <c r="E116" s="4">
        <v>17</v>
      </c>
      <c r="F116" s="4">
        <f>Sales_data[[#This Row],[Selling Price (PHP)]]-Sales_data[[#This Row],[Base Price (PHP)]]</f>
        <v>4.7100000000000009</v>
      </c>
      <c r="G116" s="4">
        <v>1</v>
      </c>
      <c r="H116" s="4">
        <f>Sales_data[[#This Row],[Quantity]]*Sales_data[[#This Row],[Base Price (PHP)]]</f>
        <v>12.29</v>
      </c>
      <c r="I116" s="4">
        <f>Sales_data[[#This Row],[Selling Price (PHP)]]*Sales_data[[#This Row],[Quantity]]</f>
        <v>17</v>
      </c>
      <c r="J116" s="4">
        <f>Sales_data[[#This Row],[Revenue]]*Sales_data[[#This Row],[Quantity]]</f>
        <v>4.7100000000000009</v>
      </c>
      <c r="K116" s="4" t="s">
        <v>182</v>
      </c>
    </row>
    <row r="117" spans="1:11" x14ac:dyDescent="0.25">
      <c r="A117" s="3">
        <v>45037</v>
      </c>
      <c r="B117" s="1" t="s">
        <v>18</v>
      </c>
      <c r="C117" s="1" t="s">
        <v>19</v>
      </c>
      <c r="D117" s="4">
        <v>18.5</v>
      </c>
      <c r="E117" s="4">
        <v>23</v>
      </c>
      <c r="F117" s="4">
        <f>Sales_data[[#This Row],[Selling Price (PHP)]]-Sales_data[[#This Row],[Base Price (PHP)]]</f>
        <v>4.5</v>
      </c>
      <c r="G117" s="4">
        <v>1</v>
      </c>
      <c r="H117" s="4">
        <f>Sales_data[[#This Row],[Quantity]]*Sales_data[[#This Row],[Base Price (PHP)]]</f>
        <v>18.5</v>
      </c>
      <c r="I117" s="4">
        <f>Sales_data[[#This Row],[Selling Price (PHP)]]*Sales_data[[#This Row],[Quantity]]</f>
        <v>23</v>
      </c>
      <c r="J117" s="4">
        <f>Sales_data[[#This Row],[Revenue]]*Sales_data[[#This Row],[Quantity]]</f>
        <v>4.5</v>
      </c>
      <c r="K117" s="4" t="s">
        <v>183</v>
      </c>
    </row>
    <row r="118" spans="1:11" x14ac:dyDescent="0.25">
      <c r="A118" s="3">
        <v>45037</v>
      </c>
      <c r="B118" s="1" t="s">
        <v>14</v>
      </c>
      <c r="C118" s="1" t="s">
        <v>15</v>
      </c>
      <c r="D118" s="4">
        <v>10.25</v>
      </c>
      <c r="E118" s="4">
        <v>14</v>
      </c>
      <c r="F118" s="4">
        <f>Sales_data[[#This Row],[Selling Price (PHP)]]-Sales_data[[#This Row],[Base Price (PHP)]]</f>
        <v>3.75</v>
      </c>
      <c r="G118" s="4">
        <v>1</v>
      </c>
      <c r="H118" s="4">
        <f>Sales_data[[#This Row],[Quantity]]*Sales_data[[#This Row],[Base Price (PHP)]]</f>
        <v>10.25</v>
      </c>
      <c r="I118" s="4">
        <f>Sales_data[[#This Row],[Selling Price (PHP)]]*Sales_data[[#This Row],[Quantity]]</f>
        <v>14</v>
      </c>
      <c r="J118" s="4">
        <f>Sales_data[[#This Row],[Revenue]]*Sales_data[[#This Row],[Quantity]]</f>
        <v>3.75</v>
      </c>
      <c r="K118" s="4" t="s">
        <v>184</v>
      </c>
    </row>
    <row r="119" spans="1:11" x14ac:dyDescent="0.25">
      <c r="A119" s="3">
        <v>45038</v>
      </c>
      <c r="B119" s="1" t="s">
        <v>91</v>
      </c>
      <c r="C119" s="1" t="s">
        <v>185</v>
      </c>
      <c r="D119" s="4">
        <v>18</v>
      </c>
      <c r="E119" s="4">
        <v>25</v>
      </c>
      <c r="F119" s="4">
        <f>Sales_data[[#This Row],[Selling Price (PHP)]]-Sales_data[[#This Row],[Base Price (PHP)]]</f>
        <v>7</v>
      </c>
      <c r="G119" s="4">
        <v>1</v>
      </c>
      <c r="H119" s="4">
        <f>Sales_data[[#This Row],[Quantity]]*Sales_data[[#This Row],[Base Price (PHP)]]</f>
        <v>18</v>
      </c>
      <c r="I119" s="4">
        <f>Sales_data[[#This Row],[Selling Price (PHP)]]*Sales_data[[#This Row],[Quantity]]</f>
        <v>25</v>
      </c>
      <c r="J119" s="4">
        <f>Sales_data[[#This Row],[Revenue]]*Sales_data[[#This Row],[Quantity]]</f>
        <v>7</v>
      </c>
      <c r="K119" s="4" t="s">
        <v>186</v>
      </c>
    </row>
    <row r="120" spans="1:11" x14ac:dyDescent="0.25">
      <c r="A120" s="3">
        <v>45038</v>
      </c>
      <c r="B120" s="1" t="s">
        <v>7</v>
      </c>
      <c r="C120" s="1" t="s">
        <v>55</v>
      </c>
      <c r="D120" s="4">
        <v>12</v>
      </c>
      <c r="E120" s="4">
        <v>18</v>
      </c>
      <c r="F120" s="4">
        <f>Sales_data[[#This Row],[Selling Price (PHP)]]-Sales_data[[#This Row],[Base Price (PHP)]]</f>
        <v>6</v>
      </c>
      <c r="G120" s="4">
        <v>8</v>
      </c>
      <c r="H120" s="4">
        <f>Sales_data[[#This Row],[Quantity]]*Sales_data[[#This Row],[Base Price (PHP)]]</f>
        <v>96</v>
      </c>
      <c r="I120" s="4">
        <f>Sales_data[[#This Row],[Selling Price (PHP)]]*Sales_data[[#This Row],[Quantity]]</f>
        <v>144</v>
      </c>
      <c r="J120" s="4">
        <f>Sales_data[[#This Row],[Revenue]]*Sales_data[[#This Row],[Quantity]]</f>
        <v>48</v>
      </c>
      <c r="K120" s="4" t="s">
        <v>187</v>
      </c>
    </row>
    <row r="121" spans="1:11" x14ac:dyDescent="0.25">
      <c r="A121" s="3">
        <v>45039</v>
      </c>
      <c r="B121" s="1" t="s">
        <v>10</v>
      </c>
      <c r="C121" s="1" t="s">
        <v>137</v>
      </c>
      <c r="D121" s="4">
        <v>12.5</v>
      </c>
      <c r="E121" s="4">
        <v>17</v>
      </c>
      <c r="F121" s="4">
        <f>Sales_data[[#This Row],[Selling Price (PHP)]]-Sales_data[[#This Row],[Base Price (PHP)]]</f>
        <v>4.5</v>
      </c>
      <c r="G121" s="4">
        <v>8</v>
      </c>
      <c r="H121" s="4">
        <f>Sales_data[[#This Row],[Quantity]]*Sales_data[[#This Row],[Base Price (PHP)]]</f>
        <v>100</v>
      </c>
      <c r="I121" s="4">
        <f>Sales_data[[#This Row],[Selling Price (PHP)]]*Sales_data[[#This Row],[Quantity]]</f>
        <v>136</v>
      </c>
      <c r="J121" s="4">
        <f>Sales_data[[#This Row],[Revenue]]*Sales_data[[#This Row],[Quantity]]</f>
        <v>36</v>
      </c>
      <c r="K121" s="4" t="s">
        <v>188</v>
      </c>
    </row>
    <row r="122" spans="1:11" x14ac:dyDescent="0.25">
      <c r="A122" s="3">
        <v>45039</v>
      </c>
      <c r="B122" s="1" t="s">
        <v>10</v>
      </c>
      <c r="C122" s="1" t="s">
        <v>137</v>
      </c>
      <c r="D122" s="4">
        <v>12.5</v>
      </c>
      <c r="E122" s="4">
        <v>17</v>
      </c>
      <c r="F122" s="4">
        <f>Sales_data[[#This Row],[Selling Price (PHP)]]-Sales_data[[#This Row],[Base Price (PHP)]]</f>
        <v>4.5</v>
      </c>
      <c r="G122" s="4">
        <v>3</v>
      </c>
      <c r="H122" s="4">
        <f>Sales_data[[#This Row],[Quantity]]*Sales_data[[#This Row],[Base Price (PHP)]]</f>
        <v>37.5</v>
      </c>
      <c r="I122" s="4">
        <f>Sales_data[[#This Row],[Selling Price (PHP)]]*Sales_data[[#This Row],[Quantity]]</f>
        <v>51</v>
      </c>
      <c r="J122" s="4">
        <f>Sales_data[[#This Row],[Revenue]]*Sales_data[[#This Row],[Quantity]]</f>
        <v>13.5</v>
      </c>
      <c r="K122" s="4" t="s">
        <v>189</v>
      </c>
    </row>
    <row r="123" spans="1:11" x14ac:dyDescent="0.25">
      <c r="A123" s="3">
        <v>45039</v>
      </c>
      <c r="B123" s="1" t="s">
        <v>7</v>
      </c>
      <c r="C123" s="1" t="s">
        <v>52</v>
      </c>
      <c r="D123" s="4">
        <v>14.5</v>
      </c>
      <c r="E123" s="4">
        <v>19</v>
      </c>
      <c r="F123" s="4">
        <f>Sales_data[[#This Row],[Selling Price (PHP)]]-Sales_data[[#This Row],[Base Price (PHP)]]</f>
        <v>4.5</v>
      </c>
      <c r="G123" s="4">
        <v>1</v>
      </c>
      <c r="H123" s="4">
        <f>Sales_data[[#This Row],[Quantity]]*Sales_data[[#This Row],[Base Price (PHP)]]</f>
        <v>14.5</v>
      </c>
      <c r="I123" s="4">
        <f>Sales_data[[#This Row],[Selling Price (PHP)]]*Sales_data[[#This Row],[Quantity]]</f>
        <v>19</v>
      </c>
      <c r="J123" s="4">
        <f>Sales_data[[#This Row],[Revenue]]*Sales_data[[#This Row],[Quantity]]</f>
        <v>4.5</v>
      </c>
      <c r="K123" s="4" t="s">
        <v>190</v>
      </c>
    </row>
    <row r="124" spans="1:11" x14ac:dyDescent="0.25">
      <c r="A124" s="3">
        <v>45039</v>
      </c>
      <c r="B124" s="1" t="s">
        <v>7</v>
      </c>
      <c r="C124" s="1" t="s">
        <v>52</v>
      </c>
      <c r="D124" s="4">
        <v>14.5</v>
      </c>
      <c r="E124" s="4">
        <v>19</v>
      </c>
      <c r="F124" s="4">
        <f>Sales_data[[#This Row],[Selling Price (PHP)]]-Sales_data[[#This Row],[Base Price (PHP)]]</f>
        <v>4.5</v>
      </c>
      <c r="G124" s="4">
        <v>1</v>
      </c>
      <c r="H124" s="4">
        <f>Sales_data[[#This Row],[Quantity]]*Sales_data[[#This Row],[Base Price (PHP)]]</f>
        <v>14.5</v>
      </c>
      <c r="I124" s="4">
        <f>Sales_data[[#This Row],[Selling Price (PHP)]]*Sales_data[[#This Row],[Quantity]]</f>
        <v>19</v>
      </c>
      <c r="J124" s="4">
        <f>Sales_data[[#This Row],[Revenue]]*Sales_data[[#This Row],[Quantity]]</f>
        <v>4.5</v>
      </c>
      <c r="K124" s="4" t="s">
        <v>191</v>
      </c>
    </row>
    <row r="125" spans="1:11" x14ac:dyDescent="0.25">
      <c r="A125" s="3">
        <v>45041</v>
      </c>
      <c r="B125" s="1" t="s">
        <v>14</v>
      </c>
      <c r="C125" s="1" t="s">
        <v>192</v>
      </c>
      <c r="D125" s="4">
        <v>12.5</v>
      </c>
      <c r="E125" s="4">
        <v>18</v>
      </c>
      <c r="F125" s="4">
        <f>Sales_data[[#This Row],[Selling Price (PHP)]]-Sales_data[[#This Row],[Base Price (PHP)]]</f>
        <v>5.5</v>
      </c>
      <c r="G125" s="4">
        <v>7</v>
      </c>
      <c r="H125" s="4">
        <f>Sales_data[[#This Row],[Quantity]]*Sales_data[[#This Row],[Base Price (PHP)]]</f>
        <v>87.5</v>
      </c>
      <c r="I125" s="4">
        <f>Sales_data[[#This Row],[Selling Price (PHP)]]*Sales_data[[#This Row],[Quantity]]</f>
        <v>126</v>
      </c>
      <c r="J125" s="4">
        <f>Sales_data[[#This Row],[Revenue]]*Sales_data[[#This Row],[Quantity]]</f>
        <v>38.5</v>
      </c>
      <c r="K125" s="4" t="s">
        <v>193</v>
      </c>
    </row>
    <row r="126" spans="1:11" x14ac:dyDescent="0.25">
      <c r="A126" s="3">
        <v>45041</v>
      </c>
      <c r="B126" s="1" t="s">
        <v>10</v>
      </c>
      <c r="C126" s="1" t="s">
        <v>43</v>
      </c>
      <c r="D126" s="4">
        <v>43.5</v>
      </c>
      <c r="E126" s="4">
        <v>55</v>
      </c>
      <c r="F126" s="4">
        <f>Sales_data[[#This Row],[Selling Price (PHP)]]-Sales_data[[#This Row],[Base Price (PHP)]]</f>
        <v>11.5</v>
      </c>
      <c r="G126" s="4">
        <v>3</v>
      </c>
      <c r="H126" s="4">
        <f>Sales_data[[#This Row],[Quantity]]*Sales_data[[#This Row],[Base Price (PHP)]]</f>
        <v>130.5</v>
      </c>
      <c r="I126" s="4">
        <f>Sales_data[[#This Row],[Selling Price (PHP)]]*Sales_data[[#This Row],[Quantity]]</f>
        <v>165</v>
      </c>
      <c r="J126" s="4">
        <f>Sales_data[[#This Row],[Revenue]]*Sales_data[[#This Row],[Quantity]]</f>
        <v>34.5</v>
      </c>
      <c r="K126" s="4" t="s">
        <v>194</v>
      </c>
    </row>
    <row r="127" spans="1:11" x14ac:dyDescent="0.25">
      <c r="A127" s="3">
        <v>45041</v>
      </c>
      <c r="B127" s="1" t="s">
        <v>10</v>
      </c>
      <c r="C127" s="1" t="s">
        <v>43</v>
      </c>
      <c r="D127" s="4">
        <v>43.5</v>
      </c>
      <c r="E127" s="4">
        <v>55</v>
      </c>
      <c r="F127" s="4">
        <f>Sales_data[[#This Row],[Selling Price (PHP)]]-Sales_data[[#This Row],[Base Price (PHP)]]</f>
        <v>11.5</v>
      </c>
      <c r="G127" s="4">
        <v>5</v>
      </c>
      <c r="H127" s="4">
        <f>Sales_data[[#This Row],[Quantity]]*Sales_data[[#This Row],[Base Price (PHP)]]</f>
        <v>217.5</v>
      </c>
      <c r="I127" s="4">
        <f>Sales_data[[#This Row],[Selling Price (PHP)]]*Sales_data[[#This Row],[Quantity]]</f>
        <v>275</v>
      </c>
      <c r="J127" s="4">
        <f>Sales_data[[#This Row],[Revenue]]*Sales_data[[#This Row],[Quantity]]</f>
        <v>57.5</v>
      </c>
      <c r="K127" s="4" t="s">
        <v>195</v>
      </c>
    </row>
    <row r="128" spans="1:11" x14ac:dyDescent="0.25">
      <c r="A128" s="3">
        <v>45041</v>
      </c>
      <c r="B128" s="1" t="s">
        <v>81</v>
      </c>
      <c r="C128" s="1" t="s">
        <v>121</v>
      </c>
      <c r="D128" s="4">
        <v>3.15</v>
      </c>
      <c r="E128" s="4">
        <v>5</v>
      </c>
      <c r="F128" s="4">
        <f>Sales_data[[#This Row],[Selling Price (PHP)]]-Sales_data[[#This Row],[Base Price (PHP)]]</f>
        <v>1.85</v>
      </c>
      <c r="G128" s="4">
        <v>3</v>
      </c>
      <c r="H128" s="4">
        <f>Sales_data[[#This Row],[Quantity]]*Sales_data[[#This Row],[Base Price (PHP)]]</f>
        <v>9.4499999999999993</v>
      </c>
      <c r="I128" s="4">
        <f>Sales_data[[#This Row],[Selling Price (PHP)]]*Sales_data[[#This Row],[Quantity]]</f>
        <v>15</v>
      </c>
      <c r="J128" s="4">
        <f>Sales_data[[#This Row],[Revenue]]*Sales_data[[#This Row],[Quantity]]</f>
        <v>5.5500000000000007</v>
      </c>
      <c r="K128" s="4" t="s">
        <v>196</v>
      </c>
    </row>
    <row r="129" spans="1:11" x14ac:dyDescent="0.25">
      <c r="A129" s="3">
        <v>45041</v>
      </c>
      <c r="B129" s="1" t="s">
        <v>81</v>
      </c>
      <c r="C129" s="1" t="s">
        <v>121</v>
      </c>
      <c r="D129" s="4">
        <v>3.15</v>
      </c>
      <c r="E129" s="4">
        <v>5</v>
      </c>
      <c r="F129" s="4">
        <f>Sales_data[[#This Row],[Selling Price (PHP)]]-Sales_data[[#This Row],[Base Price (PHP)]]</f>
        <v>1.85</v>
      </c>
      <c r="G129" s="4">
        <v>1</v>
      </c>
      <c r="H129" s="4">
        <f>Sales_data[[#This Row],[Quantity]]*Sales_data[[#This Row],[Base Price (PHP)]]</f>
        <v>3.15</v>
      </c>
      <c r="I129" s="4">
        <f>Sales_data[[#This Row],[Selling Price (PHP)]]*Sales_data[[#This Row],[Quantity]]</f>
        <v>5</v>
      </c>
      <c r="J129" s="4">
        <f>Sales_data[[#This Row],[Revenue]]*Sales_data[[#This Row],[Quantity]]</f>
        <v>1.85</v>
      </c>
      <c r="K129" s="4" t="s">
        <v>197</v>
      </c>
    </row>
    <row r="130" spans="1:11" x14ac:dyDescent="0.25">
      <c r="A130" s="3">
        <v>45041</v>
      </c>
      <c r="B130" s="1" t="s">
        <v>7</v>
      </c>
      <c r="C130" s="1" t="s">
        <v>52</v>
      </c>
      <c r="D130" s="4">
        <v>14.5</v>
      </c>
      <c r="E130" s="4">
        <v>19</v>
      </c>
      <c r="F130" s="4">
        <f>Sales_data[[#This Row],[Selling Price (PHP)]]-Sales_data[[#This Row],[Base Price (PHP)]]</f>
        <v>4.5</v>
      </c>
      <c r="G130" s="4">
        <v>7</v>
      </c>
      <c r="H130" s="4">
        <f>Sales_data[[#This Row],[Quantity]]*Sales_data[[#This Row],[Base Price (PHP)]]</f>
        <v>101.5</v>
      </c>
      <c r="I130" s="4">
        <f>Sales_data[[#This Row],[Selling Price (PHP)]]*Sales_data[[#This Row],[Quantity]]</f>
        <v>133</v>
      </c>
      <c r="J130" s="4">
        <f>Sales_data[[#This Row],[Revenue]]*Sales_data[[#This Row],[Quantity]]</f>
        <v>31.5</v>
      </c>
      <c r="K130" s="4" t="s">
        <v>198</v>
      </c>
    </row>
    <row r="131" spans="1:11" x14ac:dyDescent="0.25">
      <c r="A131" s="3">
        <v>45042</v>
      </c>
      <c r="B131" s="1" t="s">
        <v>48</v>
      </c>
      <c r="C131" s="1" t="s">
        <v>199</v>
      </c>
      <c r="D131" s="4">
        <v>35.65</v>
      </c>
      <c r="E131" s="4">
        <v>40</v>
      </c>
      <c r="F131" s="4">
        <f>Sales_data[[#This Row],[Selling Price (PHP)]]-Sales_data[[#This Row],[Base Price (PHP)]]</f>
        <v>4.3500000000000014</v>
      </c>
      <c r="G131" s="4">
        <v>6</v>
      </c>
      <c r="H131" s="4">
        <f>Sales_data[[#This Row],[Quantity]]*Sales_data[[#This Row],[Base Price (PHP)]]</f>
        <v>213.89999999999998</v>
      </c>
      <c r="I131" s="4">
        <f>Sales_data[[#This Row],[Selling Price (PHP)]]*Sales_data[[#This Row],[Quantity]]</f>
        <v>240</v>
      </c>
      <c r="J131" s="4">
        <f>Sales_data[[#This Row],[Revenue]]*Sales_data[[#This Row],[Quantity]]</f>
        <v>26.100000000000009</v>
      </c>
      <c r="K131" s="4" t="s">
        <v>200</v>
      </c>
    </row>
    <row r="132" spans="1:11" x14ac:dyDescent="0.25">
      <c r="A132" s="3">
        <v>45042</v>
      </c>
      <c r="B132" s="1" t="s">
        <v>18</v>
      </c>
      <c r="C132" s="1" t="s">
        <v>153</v>
      </c>
      <c r="D132" s="4">
        <v>12.5</v>
      </c>
      <c r="E132" s="4">
        <v>18</v>
      </c>
      <c r="F132" s="4">
        <f>Sales_data[[#This Row],[Selling Price (PHP)]]-Sales_data[[#This Row],[Base Price (PHP)]]</f>
        <v>5.5</v>
      </c>
      <c r="G132" s="4">
        <v>5</v>
      </c>
      <c r="H132" s="4">
        <f>Sales_data[[#This Row],[Quantity]]*Sales_data[[#This Row],[Base Price (PHP)]]</f>
        <v>62.5</v>
      </c>
      <c r="I132" s="4">
        <f>Sales_data[[#This Row],[Selling Price (PHP)]]*Sales_data[[#This Row],[Quantity]]</f>
        <v>90</v>
      </c>
      <c r="J132" s="4">
        <f>Sales_data[[#This Row],[Revenue]]*Sales_data[[#This Row],[Quantity]]</f>
        <v>27.5</v>
      </c>
      <c r="K132" s="4" t="s">
        <v>201</v>
      </c>
    </row>
    <row r="133" spans="1:11" x14ac:dyDescent="0.25">
      <c r="A133" s="3">
        <v>45042</v>
      </c>
      <c r="B133" s="1" t="s">
        <v>18</v>
      </c>
      <c r="C133" s="1" t="s">
        <v>19</v>
      </c>
      <c r="D133" s="4">
        <v>18.5</v>
      </c>
      <c r="E133" s="4">
        <v>23</v>
      </c>
      <c r="F133" s="4">
        <f>Sales_data[[#This Row],[Selling Price (PHP)]]-Sales_data[[#This Row],[Base Price (PHP)]]</f>
        <v>4.5</v>
      </c>
      <c r="G133" s="4">
        <v>2</v>
      </c>
      <c r="H133" s="4">
        <f>Sales_data[[#This Row],[Quantity]]*Sales_data[[#This Row],[Base Price (PHP)]]</f>
        <v>37</v>
      </c>
      <c r="I133" s="4">
        <f>Sales_data[[#This Row],[Selling Price (PHP)]]*Sales_data[[#This Row],[Quantity]]</f>
        <v>46</v>
      </c>
      <c r="J133" s="4">
        <f>Sales_data[[#This Row],[Revenue]]*Sales_data[[#This Row],[Quantity]]</f>
        <v>9</v>
      </c>
      <c r="K133" s="4" t="s">
        <v>202</v>
      </c>
    </row>
    <row r="134" spans="1:11" x14ac:dyDescent="0.25">
      <c r="A134" s="3">
        <v>45042</v>
      </c>
      <c r="B134" s="1" t="s">
        <v>81</v>
      </c>
      <c r="C134" s="1" t="s">
        <v>82</v>
      </c>
      <c r="D134" s="4">
        <v>1.25</v>
      </c>
      <c r="E134" s="4">
        <v>3</v>
      </c>
      <c r="F134" s="4">
        <f>Sales_data[[#This Row],[Selling Price (PHP)]]-Sales_data[[#This Row],[Base Price (PHP)]]</f>
        <v>1.75</v>
      </c>
      <c r="G134" s="4">
        <v>10</v>
      </c>
      <c r="H134" s="4">
        <f>Sales_data[[#This Row],[Quantity]]*Sales_data[[#This Row],[Base Price (PHP)]]</f>
        <v>12.5</v>
      </c>
      <c r="I134" s="4">
        <f>Sales_data[[#This Row],[Selling Price (PHP)]]*Sales_data[[#This Row],[Quantity]]</f>
        <v>30</v>
      </c>
      <c r="J134" s="4">
        <f>Sales_data[[#This Row],[Revenue]]*Sales_data[[#This Row],[Quantity]]</f>
        <v>17.5</v>
      </c>
      <c r="K134" s="4" t="s">
        <v>203</v>
      </c>
    </row>
    <row r="135" spans="1:11" x14ac:dyDescent="0.25">
      <c r="A135" s="3">
        <v>45042</v>
      </c>
      <c r="B135" s="1" t="s">
        <v>7</v>
      </c>
      <c r="C135" s="1" t="s">
        <v>60</v>
      </c>
      <c r="D135" s="4">
        <v>13.5</v>
      </c>
      <c r="E135" s="4">
        <v>18</v>
      </c>
      <c r="F135" s="4">
        <f>Sales_data[[#This Row],[Selling Price (PHP)]]-Sales_data[[#This Row],[Base Price (PHP)]]</f>
        <v>4.5</v>
      </c>
      <c r="G135" s="4">
        <v>1</v>
      </c>
      <c r="H135" s="4">
        <f>Sales_data[[#This Row],[Quantity]]*Sales_data[[#This Row],[Base Price (PHP)]]</f>
        <v>13.5</v>
      </c>
      <c r="I135" s="4">
        <f>Sales_data[[#This Row],[Selling Price (PHP)]]*Sales_data[[#This Row],[Quantity]]</f>
        <v>18</v>
      </c>
      <c r="J135" s="4">
        <f>Sales_data[[#This Row],[Revenue]]*Sales_data[[#This Row],[Quantity]]</f>
        <v>4.5</v>
      </c>
      <c r="K135" s="4" t="s">
        <v>204</v>
      </c>
    </row>
    <row r="136" spans="1:11" x14ac:dyDescent="0.25">
      <c r="A136" s="3">
        <v>45042</v>
      </c>
      <c r="B136" s="1" t="s">
        <v>7</v>
      </c>
      <c r="C136" s="1" t="s">
        <v>60</v>
      </c>
      <c r="D136" s="4">
        <v>13.5</v>
      </c>
      <c r="E136" s="4">
        <v>18</v>
      </c>
      <c r="F136" s="4">
        <f>Sales_data[[#This Row],[Selling Price (PHP)]]-Sales_data[[#This Row],[Base Price (PHP)]]</f>
        <v>4.5</v>
      </c>
      <c r="G136" s="4">
        <v>2</v>
      </c>
      <c r="H136" s="4">
        <f>Sales_data[[#This Row],[Quantity]]*Sales_data[[#This Row],[Base Price (PHP)]]</f>
        <v>27</v>
      </c>
      <c r="I136" s="4">
        <f>Sales_data[[#This Row],[Selling Price (PHP)]]*Sales_data[[#This Row],[Quantity]]</f>
        <v>36</v>
      </c>
      <c r="J136" s="4">
        <f>Sales_data[[#This Row],[Revenue]]*Sales_data[[#This Row],[Quantity]]</f>
        <v>9</v>
      </c>
      <c r="K136" s="4" t="s">
        <v>205</v>
      </c>
    </row>
    <row r="137" spans="1:11" x14ac:dyDescent="0.25">
      <c r="A137" s="3">
        <v>45042</v>
      </c>
      <c r="B137" s="1" t="s">
        <v>7</v>
      </c>
      <c r="C137" s="1" t="s">
        <v>60</v>
      </c>
      <c r="D137" s="4">
        <v>13.5</v>
      </c>
      <c r="E137" s="4">
        <v>18</v>
      </c>
      <c r="F137" s="4">
        <f>Sales_data[[#This Row],[Selling Price (PHP)]]-Sales_data[[#This Row],[Base Price (PHP)]]</f>
        <v>4.5</v>
      </c>
      <c r="G137" s="4">
        <v>1</v>
      </c>
      <c r="H137" s="4">
        <f>Sales_data[[#This Row],[Quantity]]*Sales_data[[#This Row],[Base Price (PHP)]]</f>
        <v>13.5</v>
      </c>
      <c r="I137" s="4">
        <f>Sales_data[[#This Row],[Selling Price (PHP)]]*Sales_data[[#This Row],[Quantity]]</f>
        <v>18</v>
      </c>
      <c r="J137" s="4">
        <f>Sales_data[[#This Row],[Revenue]]*Sales_data[[#This Row],[Quantity]]</f>
        <v>4.5</v>
      </c>
      <c r="K137" s="4" t="s">
        <v>206</v>
      </c>
    </row>
    <row r="138" spans="1:11" x14ac:dyDescent="0.25">
      <c r="A138" s="3">
        <v>45043</v>
      </c>
      <c r="B138" s="1" t="s">
        <v>91</v>
      </c>
      <c r="C138" s="1" t="s">
        <v>207</v>
      </c>
      <c r="D138" s="4">
        <v>22.25</v>
      </c>
      <c r="E138" s="4">
        <v>30</v>
      </c>
      <c r="F138" s="4">
        <f>Sales_data[[#This Row],[Selling Price (PHP)]]-Sales_data[[#This Row],[Base Price (PHP)]]</f>
        <v>7.75</v>
      </c>
      <c r="G138" s="4">
        <v>9</v>
      </c>
      <c r="H138" s="4">
        <f>Sales_data[[#This Row],[Quantity]]*Sales_data[[#This Row],[Base Price (PHP)]]</f>
        <v>200.25</v>
      </c>
      <c r="I138" s="4">
        <f>Sales_data[[#This Row],[Selling Price (PHP)]]*Sales_data[[#This Row],[Quantity]]</f>
        <v>270</v>
      </c>
      <c r="J138" s="4">
        <f>Sales_data[[#This Row],[Revenue]]*Sales_data[[#This Row],[Quantity]]</f>
        <v>69.75</v>
      </c>
      <c r="K138" s="4" t="s">
        <v>208</v>
      </c>
    </row>
    <row r="139" spans="1:11" x14ac:dyDescent="0.25">
      <c r="A139" s="3">
        <v>45043</v>
      </c>
      <c r="B139" s="1" t="s">
        <v>7</v>
      </c>
      <c r="C139" s="1" t="s">
        <v>141</v>
      </c>
      <c r="D139" s="4">
        <v>12.29</v>
      </c>
      <c r="E139" s="4">
        <v>17</v>
      </c>
      <c r="F139" s="4">
        <f>Sales_data[[#This Row],[Selling Price (PHP)]]-Sales_data[[#This Row],[Base Price (PHP)]]</f>
        <v>4.7100000000000009</v>
      </c>
      <c r="G139" s="4">
        <v>4</v>
      </c>
      <c r="H139" s="4">
        <f>Sales_data[[#This Row],[Quantity]]*Sales_data[[#This Row],[Base Price (PHP)]]</f>
        <v>49.16</v>
      </c>
      <c r="I139" s="4">
        <f>Sales_data[[#This Row],[Selling Price (PHP)]]*Sales_data[[#This Row],[Quantity]]</f>
        <v>68</v>
      </c>
      <c r="J139" s="4">
        <f>Sales_data[[#This Row],[Revenue]]*Sales_data[[#This Row],[Quantity]]</f>
        <v>18.840000000000003</v>
      </c>
      <c r="K139" s="4" t="s">
        <v>209</v>
      </c>
    </row>
    <row r="140" spans="1:11" x14ac:dyDescent="0.25">
      <c r="A140" s="3">
        <v>45044</v>
      </c>
      <c r="B140" s="1" t="s">
        <v>74</v>
      </c>
      <c r="C140" s="1" t="s">
        <v>75</v>
      </c>
      <c r="D140" s="4">
        <v>45.24</v>
      </c>
      <c r="E140" s="4">
        <v>65</v>
      </c>
      <c r="F140" s="4">
        <f>Sales_data[[#This Row],[Selling Price (PHP)]]-Sales_data[[#This Row],[Base Price (PHP)]]</f>
        <v>19.759999999999998</v>
      </c>
      <c r="G140" s="4">
        <v>3</v>
      </c>
      <c r="H140" s="4">
        <f>Sales_data[[#This Row],[Quantity]]*Sales_data[[#This Row],[Base Price (PHP)]]</f>
        <v>135.72</v>
      </c>
      <c r="I140" s="4">
        <f>Sales_data[[#This Row],[Selling Price (PHP)]]*Sales_data[[#This Row],[Quantity]]</f>
        <v>195</v>
      </c>
      <c r="J140" s="4">
        <f>Sales_data[[#This Row],[Revenue]]*Sales_data[[#This Row],[Quantity]]</f>
        <v>59.279999999999994</v>
      </c>
      <c r="K140" s="4" t="s">
        <v>210</v>
      </c>
    </row>
    <row r="141" spans="1:11" x14ac:dyDescent="0.25">
      <c r="A141" s="3">
        <v>45044</v>
      </c>
      <c r="B141" s="1" t="s">
        <v>7</v>
      </c>
      <c r="C141" s="1" t="s">
        <v>60</v>
      </c>
      <c r="D141" s="4">
        <v>13.5</v>
      </c>
      <c r="E141" s="4">
        <v>18</v>
      </c>
      <c r="F141" s="4">
        <f>Sales_data[[#This Row],[Selling Price (PHP)]]-Sales_data[[#This Row],[Base Price (PHP)]]</f>
        <v>4.5</v>
      </c>
      <c r="G141" s="4">
        <v>8</v>
      </c>
      <c r="H141" s="4">
        <f>Sales_data[[#This Row],[Quantity]]*Sales_data[[#This Row],[Base Price (PHP)]]</f>
        <v>108</v>
      </c>
      <c r="I141" s="4">
        <f>Sales_data[[#This Row],[Selling Price (PHP)]]*Sales_data[[#This Row],[Quantity]]</f>
        <v>144</v>
      </c>
      <c r="J141" s="4">
        <f>Sales_data[[#This Row],[Revenue]]*Sales_data[[#This Row],[Quantity]]</f>
        <v>36</v>
      </c>
      <c r="K141" s="4" t="s">
        <v>211</v>
      </c>
    </row>
    <row r="142" spans="1:11" x14ac:dyDescent="0.25">
      <c r="A142" s="3">
        <v>45045</v>
      </c>
      <c r="B142" s="1" t="s">
        <v>71</v>
      </c>
      <c r="C142" s="1" t="s">
        <v>72</v>
      </c>
      <c r="D142" s="4">
        <v>22</v>
      </c>
      <c r="E142" s="4">
        <v>27</v>
      </c>
      <c r="F142" s="4">
        <f>Sales_data[[#This Row],[Selling Price (PHP)]]-Sales_data[[#This Row],[Base Price (PHP)]]</f>
        <v>5</v>
      </c>
      <c r="G142" s="4">
        <v>5</v>
      </c>
      <c r="H142" s="4">
        <f>Sales_data[[#This Row],[Quantity]]*Sales_data[[#This Row],[Base Price (PHP)]]</f>
        <v>110</v>
      </c>
      <c r="I142" s="4">
        <f>Sales_data[[#This Row],[Selling Price (PHP)]]*Sales_data[[#This Row],[Quantity]]</f>
        <v>135</v>
      </c>
      <c r="J142" s="4">
        <f>Sales_data[[#This Row],[Revenue]]*Sales_data[[#This Row],[Quantity]]</f>
        <v>25</v>
      </c>
      <c r="K142" s="4" t="s">
        <v>212</v>
      </c>
    </row>
    <row r="143" spans="1:11" x14ac:dyDescent="0.25">
      <c r="A143" s="3">
        <v>45045</v>
      </c>
      <c r="B143" s="1" t="s">
        <v>81</v>
      </c>
      <c r="C143" s="1" t="s">
        <v>85</v>
      </c>
      <c r="D143" s="4">
        <v>2.4500000000000002</v>
      </c>
      <c r="E143" s="4">
        <v>4</v>
      </c>
      <c r="F143" s="4">
        <f>Sales_data[[#This Row],[Selling Price (PHP)]]-Sales_data[[#This Row],[Base Price (PHP)]]</f>
        <v>1.5499999999999998</v>
      </c>
      <c r="G143" s="4">
        <v>4</v>
      </c>
      <c r="H143" s="4">
        <f>Sales_data[[#This Row],[Quantity]]*Sales_data[[#This Row],[Base Price (PHP)]]</f>
        <v>9.8000000000000007</v>
      </c>
      <c r="I143" s="4">
        <f>Sales_data[[#This Row],[Selling Price (PHP)]]*Sales_data[[#This Row],[Quantity]]</f>
        <v>16</v>
      </c>
      <c r="J143" s="4">
        <f>Sales_data[[#This Row],[Revenue]]*Sales_data[[#This Row],[Quantity]]</f>
        <v>6.1999999999999993</v>
      </c>
      <c r="K143" s="4" t="s">
        <v>213</v>
      </c>
    </row>
    <row r="144" spans="1:11" x14ac:dyDescent="0.25">
      <c r="A144" s="3">
        <v>45046</v>
      </c>
      <c r="B144" s="1" t="s">
        <v>21</v>
      </c>
      <c r="C144" s="1" t="s">
        <v>112</v>
      </c>
      <c r="D144" s="4">
        <v>12.5</v>
      </c>
      <c r="E144" s="4">
        <v>16</v>
      </c>
      <c r="F144" s="4">
        <f>Sales_data[[#This Row],[Selling Price (PHP)]]-Sales_data[[#This Row],[Base Price (PHP)]]</f>
        <v>3.5</v>
      </c>
      <c r="G144" s="4">
        <v>2</v>
      </c>
      <c r="H144" s="4">
        <f>Sales_data[[#This Row],[Quantity]]*Sales_data[[#This Row],[Base Price (PHP)]]</f>
        <v>25</v>
      </c>
      <c r="I144" s="4">
        <f>Sales_data[[#This Row],[Selling Price (PHP)]]*Sales_data[[#This Row],[Quantity]]</f>
        <v>32</v>
      </c>
      <c r="J144" s="4">
        <f>Sales_data[[#This Row],[Revenue]]*Sales_data[[#This Row],[Quantity]]</f>
        <v>7</v>
      </c>
      <c r="K144" s="4" t="s">
        <v>214</v>
      </c>
    </row>
    <row r="145" spans="1:11" x14ac:dyDescent="0.25">
      <c r="A145" s="3">
        <v>45046</v>
      </c>
      <c r="B145" s="1" t="s">
        <v>24</v>
      </c>
      <c r="C145" s="1" t="s">
        <v>145</v>
      </c>
      <c r="D145" s="4">
        <v>9.5</v>
      </c>
      <c r="E145" s="4">
        <v>14</v>
      </c>
      <c r="F145" s="4">
        <f>Sales_data[[#This Row],[Selling Price (PHP)]]-Sales_data[[#This Row],[Base Price (PHP)]]</f>
        <v>4.5</v>
      </c>
      <c r="G145" s="4">
        <v>4</v>
      </c>
      <c r="H145" s="4">
        <f>Sales_data[[#This Row],[Quantity]]*Sales_data[[#This Row],[Base Price (PHP)]]</f>
        <v>38</v>
      </c>
      <c r="I145" s="4">
        <f>Sales_data[[#This Row],[Selling Price (PHP)]]*Sales_data[[#This Row],[Quantity]]</f>
        <v>56</v>
      </c>
      <c r="J145" s="4">
        <f>Sales_data[[#This Row],[Revenue]]*Sales_data[[#This Row],[Quantity]]</f>
        <v>18</v>
      </c>
      <c r="K145" s="4" t="s">
        <v>215</v>
      </c>
    </row>
    <row r="146" spans="1:11" x14ac:dyDescent="0.25">
      <c r="A146" s="3">
        <v>45046</v>
      </c>
      <c r="B146" s="1" t="s">
        <v>24</v>
      </c>
      <c r="C146" s="1" t="s">
        <v>145</v>
      </c>
      <c r="D146" s="4">
        <v>9.5</v>
      </c>
      <c r="E146" s="4">
        <v>14</v>
      </c>
      <c r="F146" s="4">
        <f>Sales_data[[#This Row],[Selling Price (PHP)]]-Sales_data[[#This Row],[Base Price (PHP)]]</f>
        <v>4.5</v>
      </c>
      <c r="G146" s="4">
        <v>2</v>
      </c>
      <c r="H146" s="4">
        <f>Sales_data[[#This Row],[Quantity]]*Sales_data[[#This Row],[Base Price (PHP)]]</f>
        <v>19</v>
      </c>
      <c r="I146" s="4">
        <f>Sales_data[[#This Row],[Selling Price (PHP)]]*Sales_data[[#This Row],[Quantity]]</f>
        <v>28</v>
      </c>
      <c r="J146" s="4">
        <f>Sales_data[[#This Row],[Revenue]]*Sales_data[[#This Row],[Quantity]]</f>
        <v>9</v>
      </c>
      <c r="K146" s="4" t="s">
        <v>216</v>
      </c>
    </row>
    <row r="147" spans="1:11" x14ac:dyDescent="0.25">
      <c r="A147" s="3">
        <v>45046</v>
      </c>
      <c r="B147" s="1" t="s">
        <v>7</v>
      </c>
      <c r="C147" s="1" t="s">
        <v>52</v>
      </c>
      <c r="D147" s="4">
        <v>14.5</v>
      </c>
      <c r="E147" s="4">
        <v>19</v>
      </c>
      <c r="F147" s="4">
        <f>Sales_data[[#This Row],[Selling Price (PHP)]]-Sales_data[[#This Row],[Base Price (PHP)]]</f>
        <v>4.5</v>
      </c>
      <c r="G147" s="4">
        <v>6</v>
      </c>
      <c r="H147" s="4">
        <f>Sales_data[[#This Row],[Quantity]]*Sales_data[[#This Row],[Base Price (PHP)]]</f>
        <v>87</v>
      </c>
      <c r="I147" s="4">
        <f>Sales_data[[#This Row],[Selling Price (PHP)]]*Sales_data[[#This Row],[Quantity]]</f>
        <v>114</v>
      </c>
      <c r="J147" s="4">
        <f>Sales_data[[#This Row],[Revenue]]*Sales_data[[#This Row],[Quantity]]</f>
        <v>27</v>
      </c>
      <c r="K147" s="4" t="s">
        <v>217</v>
      </c>
    </row>
    <row r="148" spans="1:11" x14ac:dyDescent="0.25">
      <c r="A148" s="3">
        <v>45047</v>
      </c>
      <c r="B148" s="1" t="s">
        <v>10</v>
      </c>
      <c r="C148" s="1" t="s">
        <v>37</v>
      </c>
      <c r="D148" s="4">
        <v>13.83</v>
      </c>
      <c r="E148" s="4">
        <v>18</v>
      </c>
      <c r="F148" s="4">
        <f>Sales_data[[#This Row],[Selling Price (PHP)]]-Sales_data[[#This Row],[Base Price (PHP)]]</f>
        <v>4.17</v>
      </c>
      <c r="G148" s="4">
        <v>8</v>
      </c>
      <c r="H148" s="4">
        <f>Sales_data[[#This Row],[Quantity]]*Sales_data[[#This Row],[Base Price (PHP)]]</f>
        <v>110.64</v>
      </c>
      <c r="I148" s="4">
        <f>Sales_data[[#This Row],[Selling Price (PHP)]]*Sales_data[[#This Row],[Quantity]]</f>
        <v>144</v>
      </c>
      <c r="J148" s="4">
        <f>Sales_data[[#This Row],[Revenue]]*Sales_data[[#This Row],[Quantity]]</f>
        <v>33.36</v>
      </c>
      <c r="K148" s="4" t="s">
        <v>218</v>
      </c>
    </row>
    <row r="149" spans="1:11" x14ac:dyDescent="0.25">
      <c r="A149" s="3">
        <v>45048</v>
      </c>
      <c r="B149" s="1" t="s">
        <v>18</v>
      </c>
      <c r="C149" s="1" t="s">
        <v>33</v>
      </c>
      <c r="D149" s="4">
        <v>16.170000000000002</v>
      </c>
      <c r="E149" s="4">
        <v>20</v>
      </c>
      <c r="F149" s="4">
        <f>Sales_data[[#This Row],[Selling Price (PHP)]]-Sales_data[[#This Row],[Base Price (PHP)]]</f>
        <v>3.8299999999999983</v>
      </c>
      <c r="G149" s="4">
        <v>2</v>
      </c>
      <c r="H149" s="4">
        <f>Sales_data[[#This Row],[Quantity]]*Sales_data[[#This Row],[Base Price (PHP)]]</f>
        <v>32.340000000000003</v>
      </c>
      <c r="I149" s="4">
        <f>Sales_data[[#This Row],[Selling Price (PHP)]]*Sales_data[[#This Row],[Quantity]]</f>
        <v>40</v>
      </c>
      <c r="J149" s="4">
        <f>Sales_data[[#This Row],[Revenue]]*Sales_data[[#This Row],[Quantity]]</f>
        <v>7.6599999999999966</v>
      </c>
      <c r="K149" s="4" t="s">
        <v>219</v>
      </c>
    </row>
    <row r="150" spans="1:11" x14ac:dyDescent="0.25">
      <c r="A150" s="3">
        <v>45049</v>
      </c>
      <c r="B150" s="1" t="s">
        <v>18</v>
      </c>
      <c r="C150" s="1" t="s">
        <v>33</v>
      </c>
      <c r="D150" s="4">
        <v>16.170000000000002</v>
      </c>
      <c r="E150" s="4">
        <v>20</v>
      </c>
      <c r="F150" s="4">
        <f>Sales_data[[#This Row],[Selling Price (PHP)]]-Sales_data[[#This Row],[Base Price (PHP)]]</f>
        <v>3.8299999999999983</v>
      </c>
      <c r="G150" s="4">
        <v>3</v>
      </c>
      <c r="H150" s="4">
        <f>Sales_data[[#This Row],[Quantity]]*Sales_data[[#This Row],[Base Price (PHP)]]</f>
        <v>48.510000000000005</v>
      </c>
      <c r="I150" s="4">
        <f>Sales_data[[#This Row],[Selling Price (PHP)]]*Sales_data[[#This Row],[Quantity]]</f>
        <v>60</v>
      </c>
      <c r="J150" s="4">
        <f>Sales_data[[#This Row],[Revenue]]*Sales_data[[#This Row],[Quantity]]</f>
        <v>11.489999999999995</v>
      </c>
      <c r="K150" s="4" t="s">
        <v>220</v>
      </c>
    </row>
    <row r="151" spans="1:11" x14ac:dyDescent="0.25">
      <c r="A151" s="3">
        <v>45050</v>
      </c>
      <c r="B151" s="1" t="s">
        <v>14</v>
      </c>
      <c r="C151" s="1" t="s">
        <v>15</v>
      </c>
      <c r="D151" s="4">
        <v>10.25</v>
      </c>
      <c r="E151" s="4">
        <v>14</v>
      </c>
      <c r="F151" s="4">
        <f>Sales_data[[#This Row],[Selling Price (PHP)]]-Sales_data[[#This Row],[Base Price (PHP)]]</f>
        <v>3.75</v>
      </c>
      <c r="G151" s="4">
        <v>4</v>
      </c>
      <c r="H151" s="4">
        <f>Sales_data[[#This Row],[Quantity]]*Sales_data[[#This Row],[Base Price (PHP)]]</f>
        <v>41</v>
      </c>
      <c r="I151" s="4">
        <f>Sales_data[[#This Row],[Selling Price (PHP)]]*Sales_data[[#This Row],[Quantity]]</f>
        <v>56</v>
      </c>
      <c r="J151" s="4">
        <f>Sales_data[[#This Row],[Revenue]]*Sales_data[[#This Row],[Quantity]]</f>
        <v>15</v>
      </c>
      <c r="K151" s="4" t="s">
        <v>221</v>
      </c>
    </row>
    <row r="152" spans="1:11" x14ac:dyDescent="0.25">
      <c r="A152" s="3">
        <v>45051</v>
      </c>
      <c r="B152" s="1" t="s">
        <v>30</v>
      </c>
      <c r="C152" s="1" t="s">
        <v>31</v>
      </c>
      <c r="D152" s="4">
        <v>20.329999999999998</v>
      </c>
      <c r="E152" s="4">
        <v>25</v>
      </c>
      <c r="F152" s="4">
        <f>Sales_data[[#This Row],[Selling Price (PHP)]]-Sales_data[[#This Row],[Base Price (PHP)]]</f>
        <v>4.6700000000000017</v>
      </c>
      <c r="G152" s="4">
        <v>6</v>
      </c>
      <c r="H152" s="4">
        <f>Sales_data[[#This Row],[Quantity]]*Sales_data[[#This Row],[Base Price (PHP)]]</f>
        <v>121.97999999999999</v>
      </c>
      <c r="I152" s="4">
        <f>Sales_data[[#This Row],[Selling Price (PHP)]]*Sales_data[[#This Row],[Quantity]]</f>
        <v>150</v>
      </c>
      <c r="J152" s="4">
        <f>Sales_data[[#This Row],[Revenue]]*Sales_data[[#This Row],[Quantity]]</f>
        <v>28.02000000000001</v>
      </c>
      <c r="K152" s="4" t="s">
        <v>222</v>
      </c>
    </row>
    <row r="153" spans="1:11" x14ac:dyDescent="0.25">
      <c r="A153" s="3">
        <v>45051</v>
      </c>
      <c r="B153" s="1" t="s">
        <v>48</v>
      </c>
      <c r="C153" s="1" t="s">
        <v>150</v>
      </c>
      <c r="D153" s="4">
        <v>39</v>
      </c>
      <c r="E153" s="4">
        <v>45</v>
      </c>
      <c r="F153" s="4">
        <f>Sales_data[[#This Row],[Selling Price (PHP)]]-Sales_data[[#This Row],[Base Price (PHP)]]</f>
        <v>6</v>
      </c>
      <c r="G153" s="4">
        <v>10</v>
      </c>
      <c r="H153" s="4">
        <f>Sales_data[[#This Row],[Quantity]]*Sales_data[[#This Row],[Base Price (PHP)]]</f>
        <v>390</v>
      </c>
      <c r="I153" s="4">
        <f>Sales_data[[#This Row],[Selling Price (PHP)]]*Sales_data[[#This Row],[Quantity]]</f>
        <v>450</v>
      </c>
      <c r="J153" s="4">
        <f>Sales_data[[#This Row],[Revenue]]*Sales_data[[#This Row],[Quantity]]</f>
        <v>60</v>
      </c>
      <c r="K153" s="4" t="s">
        <v>223</v>
      </c>
    </row>
    <row r="154" spans="1:11" x14ac:dyDescent="0.25">
      <c r="A154" s="3">
        <v>45051</v>
      </c>
      <c r="B154" s="1" t="s">
        <v>21</v>
      </c>
      <c r="C154" s="1" t="s">
        <v>112</v>
      </c>
      <c r="D154" s="4">
        <v>12.5</v>
      </c>
      <c r="E154" s="4">
        <v>16</v>
      </c>
      <c r="F154" s="4">
        <f>Sales_data[[#This Row],[Selling Price (PHP)]]-Sales_data[[#This Row],[Base Price (PHP)]]</f>
        <v>3.5</v>
      </c>
      <c r="G154" s="4">
        <v>4</v>
      </c>
      <c r="H154" s="4">
        <f>Sales_data[[#This Row],[Quantity]]*Sales_data[[#This Row],[Base Price (PHP)]]</f>
        <v>50</v>
      </c>
      <c r="I154" s="4">
        <f>Sales_data[[#This Row],[Selling Price (PHP)]]*Sales_data[[#This Row],[Quantity]]</f>
        <v>64</v>
      </c>
      <c r="J154" s="4">
        <f>Sales_data[[#This Row],[Revenue]]*Sales_data[[#This Row],[Quantity]]</f>
        <v>14</v>
      </c>
      <c r="K154" s="4" t="s">
        <v>224</v>
      </c>
    </row>
    <row r="155" spans="1:11" x14ac:dyDescent="0.25">
      <c r="A155" s="3">
        <v>45052</v>
      </c>
      <c r="B155" s="1" t="s">
        <v>91</v>
      </c>
      <c r="C155" s="1" t="s">
        <v>185</v>
      </c>
      <c r="D155" s="4">
        <v>18</v>
      </c>
      <c r="E155" s="4">
        <v>25</v>
      </c>
      <c r="F155" s="4">
        <f>Sales_data[[#This Row],[Selling Price (PHP)]]-Sales_data[[#This Row],[Base Price (PHP)]]</f>
        <v>7</v>
      </c>
      <c r="G155" s="4">
        <v>6</v>
      </c>
      <c r="H155" s="4">
        <f>Sales_data[[#This Row],[Quantity]]*Sales_data[[#This Row],[Base Price (PHP)]]</f>
        <v>108</v>
      </c>
      <c r="I155" s="4">
        <f>Sales_data[[#This Row],[Selling Price (PHP)]]*Sales_data[[#This Row],[Quantity]]</f>
        <v>150</v>
      </c>
      <c r="J155" s="4">
        <f>Sales_data[[#This Row],[Revenue]]*Sales_data[[#This Row],[Quantity]]</f>
        <v>42</v>
      </c>
      <c r="K155" s="4" t="s">
        <v>225</v>
      </c>
    </row>
    <row r="156" spans="1:11" x14ac:dyDescent="0.25">
      <c r="A156" s="3">
        <v>45053</v>
      </c>
      <c r="B156" s="1" t="s">
        <v>30</v>
      </c>
      <c r="C156" s="1" t="s">
        <v>119</v>
      </c>
      <c r="D156" s="4">
        <v>14</v>
      </c>
      <c r="E156" s="4">
        <v>19</v>
      </c>
      <c r="F156" s="4">
        <f>Sales_data[[#This Row],[Selling Price (PHP)]]-Sales_data[[#This Row],[Base Price (PHP)]]</f>
        <v>5</v>
      </c>
      <c r="G156" s="4">
        <v>3</v>
      </c>
      <c r="H156" s="4">
        <f>Sales_data[[#This Row],[Quantity]]*Sales_data[[#This Row],[Base Price (PHP)]]</f>
        <v>42</v>
      </c>
      <c r="I156" s="4">
        <f>Sales_data[[#This Row],[Selling Price (PHP)]]*Sales_data[[#This Row],[Quantity]]</f>
        <v>57</v>
      </c>
      <c r="J156" s="4">
        <f>Sales_data[[#This Row],[Revenue]]*Sales_data[[#This Row],[Quantity]]</f>
        <v>15</v>
      </c>
      <c r="K156" s="4" t="s">
        <v>226</v>
      </c>
    </row>
    <row r="157" spans="1:11" x14ac:dyDescent="0.25">
      <c r="A157" s="3">
        <v>45053</v>
      </c>
      <c r="B157" s="1" t="s">
        <v>18</v>
      </c>
      <c r="C157" s="1" t="s">
        <v>33</v>
      </c>
      <c r="D157" s="4">
        <v>16.170000000000002</v>
      </c>
      <c r="E157" s="4">
        <v>20</v>
      </c>
      <c r="F157" s="4">
        <f>Sales_data[[#This Row],[Selling Price (PHP)]]-Sales_data[[#This Row],[Base Price (PHP)]]</f>
        <v>3.8299999999999983</v>
      </c>
      <c r="G157" s="4">
        <v>2</v>
      </c>
      <c r="H157" s="4">
        <f>Sales_data[[#This Row],[Quantity]]*Sales_data[[#This Row],[Base Price (PHP)]]</f>
        <v>32.340000000000003</v>
      </c>
      <c r="I157" s="4">
        <f>Sales_data[[#This Row],[Selling Price (PHP)]]*Sales_data[[#This Row],[Quantity]]</f>
        <v>40</v>
      </c>
      <c r="J157" s="4">
        <f>Sales_data[[#This Row],[Revenue]]*Sales_data[[#This Row],[Quantity]]</f>
        <v>7.6599999999999966</v>
      </c>
      <c r="K157" s="4" t="s">
        <v>227</v>
      </c>
    </row>
    <row r="158" spans="1:11" x14ac:dyDescent="0.25">
      <c r="A158" s="3">
        <v>45053</v>
      </c>
      <c r="B158" s="1" t="s">
        <v>24</v>
      </c>
      <c r="C158" s="1" t="s">
        <v>116</v>
      </c>
      <c r="D158" s="4">
        <v>7.5</v>
      </c>
      <c r="E158" s="4">
        <v>12</v>
      </c>
      <c r="F158" s="4">
        <f>Sales_data[[#This Row],[Selling Price (PHP)]]-Sales_data[[#This Row],[Base Price (PHP)]]</f>
        <v>4.5</v>
      </c>
      <c r="G158" s="4">
        <v>1</v>
      </c>
      <c r="H158" s="4">
        <f>Sales_data[[#This Row],[Quantity]]*Sales_data[[#This Row],[Base Price (PHP)]]</f>
        <v>7.5</v>
      </c>
      <c r="I158" s="4">
        <f>Sales_data[[#This Row],[Selling Price (PHP)]]*Sales_data[[#This Row],[Quantity]]</f>
        <v>12</v>
      </c>
      <c r="J158" s="4">
        <f>Sales_data[[#This Row],[Revenue]]*Sales_data[[#This Row],[Quantity]]</f>
        <v>4.5</v>
      </c>
      <c r="K158" s="4" t="s">
        <v>228</v>
      </c>
    </row>
    <row r="159" spans="1:11" x14ac:dyDescent="0.25">
      <c r="A159" s="3">
        <v>45054</v>
      </c>
      <c r="B159" s="1" t="s">
        <v>48</v>
      </c>
      <c r="C159" s="1" t="s">
        <v>49</v>
      </c>
      <c r="D159" s="4">
        <v>38.72</v>
      </c>
      <c r="E159" s="4">
        <v>43</v>
      </c>
      <c r="F159" s="4">
        <f>Sales_data[[#This Row],[Selling Price (PHP)]]-Sales_data[[#This Row],[Base Price (PHP)]]</f>
        <v>4.2800000000000011</v>
      </c>
      <c r="G159" s="4">
        <v>6</v>
      </c>
      <c r="H159" s="4">
        <f>Sales_data[[#This Row],[Quantity]]*Sales_data[[#This Row],[Base Price (PHP)]]</f>
        <v>232.32</v>
      </c>
      <c r="I159" s="4">
        <f>Sales_data[[#This Row],[Selling Price (PHP)]]*Sales_data[[#This Row],[Quantity]]</f>
        <v>258</v>
      </c>
      <c r="J159" s="4">
        <f>Sales_data[[#This Row],[Revenue]]*Sales_data[[#This Row],[Quantity]]</f>
        <v>25.680000000000007</v>
      </c>
      <c r="K159" s="4" t="s">
        <v>229</v>
      </c>
    </row>
    <row r="160" spans="1:11" x14ac:dyDescent="0.25">
      <c r="A160" s="3">
        <v>45054</v>
      </c>
      <c r="B160" s="1" t="s">
        <v>48</v>
      </c>
      <c r="C160" s="1" t="s">
        <v>49</v>
      </c>
      <c r="D160" s="4">
        <v>38.72</v>
      </c>
      <c r="E160" s="4">
        <v>43</v>
      </c>
      <c r="F160" s="4">
        <f>Sales_data[[#This Row],[Selling Price (PHP)]]-Sales_data[[#This Row],[Base Price (PHP)]]</f>
        <v>4.2800000000000011</v>
      </c>
      <c r="G160" s="4">
        <v>1</v>
      </c>
      <c r="H160" s="4">
        <f>Sales_data[[#This Row],[Quantity]]*Sales_data[[#This Row],[Base Price (PHP)]]</f>
        <v>38.72</v>
      </c>
      <c r="I160" s="4">
        <f>Sales_data[[#This Row],[Selling Price (PHP)]]*Sales_data[[#This Row],[Quantity]]</f>
        <v>43</v>
      </c>
      <c r="J160" s="4">
        <f>Sales_data[[#This Row],[Revenue]]*Sales_data[[#This Row],[Quantity]]</f>
        <v>4.2800000000000011</v>
      </c>
      <c r="K160" s="4" t="s">
        <v>230</v>
      </c>
    </row>
    <row r="161" spans="1:11" x14ac:dyDescent="0.25">
      <c r="A161" s="3">
        <v>45054</v>
      </c>
      <c r="B161" s="1" t="s">
        <v>74</v>
      </c>
      <c r="C161" s="1" t="s">
        <v>75</v>
      </c>
      <c r="D161" s="4">
        <v>45.24</v>
      </c>
      <c r="E161" s="4">
        <v>65</v>
      </c>
      <c r="F161" s="4">
        <f>Sales_data[[#This Row],[Selling Price (PHP)]]-Sales_data[[#This Row],[Base Price (PHP)]]</f>
        <v>19.759999999999998</v>
      </c>
      <c r="G161" s="4">
        <v>7</v>
      </c>
      <c r="H161" s="4">
        <f>Sales_data[[#This Row],[Quantity]]*Sales_data[[#This Row],[Base Price (PHP)]]</f>
        <v>316.68</v>
      </c>
      <c r="I161" s="4">
        <f>Sales_data[[#This Row],[Selling Price (PHP)]]*Sales_data[[#This Row],[Quantity]]</f>
        <v>455</v>
      </c>
      <c r="J161" s="4">
        <f>Sales_data[[#This Row],[Revenue]]*Sales_data[[#This Row],[Quantity]]</f>
        <v>138.32</v>
      </c>
      <c r="K161" s="4" t="s">
        <v>231</v>
      </c>
    </row>
    <row r="162" spans="1:11" x14ac:dyDescent="0.25">
      <c r="A162" s="3">
        <v>45055</v>
      </c>
      <c r="B162" s="1" t="s">
        <v>18</v>
      </c>
      <c r="C162" s="1" t="s">
        <v>19</v>
      </c>
      <c r="D162" s="4">
        <v>18.5</v>
      </c>
      <c r="E162" s="4">
        <v>23</v>
      </c>
      <c r="F162" s="4">
        <f>Sales_data[[#This Row],[Selling Price (PHP)]]-Sales_data[[#This Row],[Base Price (PHP)]]</f>
        <v>4.5</v>
      </c>
      <c r="G162" s="4">
        <v>9</v>
      </c>
      <c r="H162" s="4">
        <f>Sales_data[[#This Row],[Quantity]]*Sales_data[[#This Row],[Base Price (PHP)]]</f>
        <v>166.5</v>
      </c>
      <c r="I162" s="4">
        <f>Sales_data[[#This Row],[Selling Price (PHP)]]*Sales_data[[#This Row],[Quantity]]</f>
        <v>207</v>
      </c>
      <c r="J162" s="4">
        <f>Sales_data[[#This Row],[Revenue]]*Sales_data[[#This Row],[Quantity]]</f>
        <v>40.5</v>
      </c>
      <c r="K162" s="4" t="s">
        <v>232</v>
      </c>
    </row>
    <row r="163" spans="1:11" x14ac:dyDescent="0.25">
      <c r="A163" s="3">
        <v>45056</v>
      </c>
      <c r="B163" s="1" t="s">
        <v>14</v>
      </c>
      <c r="C163" s="1" t="s">
        <v>233</v>
      </c>
      <c r="D163" s="4">
        <v>10.75</v>
      </c>
      <c r="E163" s="4">
        <v>14</v>
      </c>
      <c r="F163" s="4">
        <f>Sales_data[[#This Row],[Selling Price (PHP)]]-Sales_data[[#This Row],[Base Price (PHP)]]</f>
        <v>3.25</v>
      </c>
      <c r="G163" s="4">
        <v>9</v>
      </c>
      <c r="H163" s="4">
        <f>Sales_data[[#This Row],[Quantity]]*Sales_data[[#This Row],[Base Price (PHP)]]</f>
        <v>96.75</v>
      </c>
      <c r="I163" s="4">
        <f>Sales_data[[#This Row],[Selling Price (PHP)]]*Sales_data[[#This Row],[Quantity]]</f>
        <v>126</v>
      </c>
      <c r="J163" s="4">
        <f>Sales_data[[#This Row],[Revenue]]*Sales_data[[#This Row],[Quantity]]</f>
        <v>29.25</v>
      </c>
      <c r="K163" s="4" t="s">
        <v>234</v>
      </c>
    </row>
    <row r="164" spans="1:11" x14ac:dyDescent="0.25">
      <c r="A164" s="3">
        <v>45056</v>
      </c>
      <c r="B164" s="1" t="s">
        <v>74</v>
      </c>
      <c r="C164" s="1" t="s">
        <v>123</v>
      </c>
      <c r="D164" s="4">
        <v>23.5</v>
      </c>
      <c r="E164" s="4">
        <v>28</v>
      </c>
      <c r="F164" s="4">
        <f>Sales_data[[#This Row],[Selling Price (PHP)]]-Sales_data[[#This Row],[Base Price (PHP)]]</f>
        <v>4.5</v>
      </c>
      <c r="G164" s="4">
        <v>3</v>
      </c>
      <c r="H164" s="4">
        <f>Sales_data[[#This Row],[Quantity]]*Sales_data[[#This Row],[Base Price (PHP)]]</f>
        <v>70.5</v>
      </c>
      <c r="I164" s="4">
        <f>Sales_data[[#This Row],[Selling Price (PHP)]]*Sales_data[[#This Row],[Quantity]]</f>
        <v>84</v>
      </c>
      <c r="J164" s="4">
        <f>Sales_data[[#This Row],[Revenue]]*Sales_data[[#This Row],[Quantity]]</f>
        <v>13.5</v>
      </c>
      <c r="K164" s="4" t="s">
        <v>235</v>
      </c>
    </row>
    <row r="165" spans="1:11" x14ac:dyDescent="0.25">
      <c r="A165" s="3">
        <v>45056</v>
      </c>
      <c r="B165" s="1" t="s">
        <v>10</v>
      </c>
      <c r="C165" s="1" t="s">
        <v>137</v>
      </c>
      <c r="D165" s="4">
        <v>12.5</v>
      </c>
      <c r="E165" s="4">
        <v>17</v>
      </c>
      <c r="F165" s="4">
        <f>Sales_data[[#This Row],[Selling Price (PHP)]]-Sales_data[[#This Row],[Base Price (PHP)]]</f>
        <v>4.5</v>
      </c>
      <c r="G165" s="4">
        <v>7</v>
      </c>
      <c r="H165" s="4">
        <f>Sales_data[[#This Row],[Quantity]]*Sales_data[[#This Row],[Base Price (PHP)]]</f>
        <v>87.5</v>
      </c>
      <c r="I165" s="4">
        <f>Sales_data[[#This Row],[Selling Price (PHP)]]*Sales_data[[#This Row],[Quantity]]</f>
        <v>119</v>
      </c>
      <c r="J165" s="4">
        <f>Sales_data[[#This Row],[Revenue]]*Sales_data[[#This Row],[Quantity]]</f>
        <v>31.5</v>
      </c>
      <c r="K165" s="4" t="s">
        <v>236</v>
      </c>
    </row>
    <row r="166" spans="1:11" x14ac:dyDescent="0.25">
      <c r="A166" s="3">
        <v>45056</v>
      </c>
      <c r="B166" s="1" t="s">
        <v>7</v>
      </c>
      <c r="C166" s="1" t="s">
        <v>55</v>
      </c>
      <c r="D166" s="4">
        <v>12</v>
      </c>
      <c r="E166" s="4">
        <v>18</v>
      </c>
      <c r="F166" s="4">
        <f>Sales_data[[#This Row],[Selling Price (PHP)]]-Sales_data[[#This Row],[Base Price (PHP)]]</f>
        <v>6</v>
      </c>
      <c r="G166" s="4">
        <v>9</v>
      </c>
      <c r="H166" s="4">
        <f>Sales_data[[#This Row],[Quantity]]*Sales_data[[#This Row],[Base Price (PHP)]]</f>
        <v>108</v>
      </c>
      <c r="I166" s="4">
        <f>Sales_data[[#This Row],[Selling Price (PHP)]]*Sales_data[[#This Row],[Quantity]]</f>
        <v>162</v>
      </c>
      <c r="J166" s="4">
        <f>Sales_data[[#This Row],[Revenue]]*Sales_data[[#This Row],[Quantity]]</f>
        <v>54</v>
      </c>
      <c r="K166" s="4" t="s">
        <v>237</v>
      </c>
    </row>
    <row r="167" spans="1:11" x14ac:dyDescent="0.25">
      <c r="A167" s="3">
        <v>45058</v>
      </c>
      <c r="B167" s="1" t="s">
        <v>74</v>
      </c>
      <c r="C167" s="1" t="s">
        <v>123</v>
      </c>
      <c r="D167" s="4">
        <v>23.5</v>
      </c>
      <c r="E167" s="4">
        <v>28</v>
      </c>
      <c r="F167" s="4">
        <f>Sales_data[[#This Row],[Selling Price (PHP)]]-Sales_data[[#This Row],[Base Price (PHP)]]</f>
        <v>4.5</v>
      </c>
      <c r="G167" s="4">
        <v>6</v>
      </c>
      <c r="H167" s="4">
        <f>Sales_data[[#This Row],[Quantity]]*Sales_data[[#This Row],[Base Price (PHP)]]</f>
        <v>141</v>
      </c>
      <c r="I167" s="4">
        <f>Sales_data[[#This Row],[Selling Price (PHP)]]*Sales_data[[#This Row],[Quantity]]</f>
        <v>168</v>
      </c>
      <c r="J167" s="4">
        <f>Sales_data[[#This Row],[Revenue]]*Sales_data[[#This Row],[Quantity]]</f>
        <v>27</v>
      </c>
      <c r="K167" s="4" t="s">
        <v>238</v>
      </c>
    </row>
    <row r="168" spans="1:11" x14ac:dyDescent="0.25">
      <c r="A168" s="3">
        <v>45058</v>
      </c>
      <c r="B168" s="1" t="s">
        <v>21</v>
      </c>
      <c r="C168" s="1" t="s">
        <v>173</v>
      </c>
      <c r="D168" s="4">
        <v>13.5</v>
      </c>
      <c r="E168" s="4">
        <v>18</v>
      </c>
      <c r="F168" s="4">
        <f>Sales_data[[#This Row],[Selling Price (PHP)]]-Sales_data[[#This Row],[Base Price (PHP)]]</f>
        <v>4.5</v>
      </c>
      <c r="G168" s="4">
        <v>10</v>
      </c>
      <c r="H168" s="4">
        <f>Sales_data[[#This Row],[Quantity]]*Sales_data[[#This Row],[Base Price (PHP)]]</f>
        <v>135</v>
      </c>
      <c r="I168" s="4">
        <f>Sales_data[[#This Row],[Selling Price (PHP)]]*Sales_data[[#This Row],[Quantity]]</f>
        <v>180</v>
      </c>
      <c r="J168" s="4">
        <f>Sales_data[[#This Row],[Revenue]]*Sales_data[[#This Row],[Quantity]]</f>
        <v>45</v>
      </c>
      <c r="K168" s="4" t="s">
        <v>239</v>
      </c>
    </row>
    <row r="169" spans="1:11" x14ac:dyDescent="0.25">
      <c r="A169" s="3">
        <v>45059</v>
      </c>
      <c r="B169" s="1" t="s">
        <v>7</v>
      </c>
      <c r="C169" s="1" t="s">
        <v>131</v>
      </c>
      <c r="D169" s="4">
        <v>8.75</v>
      </c>
      <c r="E169" s="4">
        <v>14</v>
      </c>
      <c r="F169" s="4">
        <f>Sales_data[[#This Row],[Selling Price (PHP)]]-Sales_data[[#This Row],[Base Price (PHP)]]</f>
        <v>5.25</v>
      </c>
      <c r="G169" s="4">
        <v>5</v>
      </c>
      <c r="H169" s="4">
        <f>Sales_data[[#This Row],[Quantity]]*Sales_data[[#This Row],[Base Price (PHP)]]</f>
        <v>43.75</v>
      </c>
      <c r="I169" s="4">
        <f>Sales_data[[#This Row],[Selling Price (PHP)]]*Sales_data[[#This Row],[Quantity]]</f>
        <v>70</v>
      </c>
      <c r="J169" s="4">
        <f>Sales_data[[#This Row],[Revenue]]*Sales_data[[#This Row],[Quantity]]</f>
        <v>26.25</v>
      </c>
      <c r="K169" s="4" t="s">
        <v>240</v>
      </c>
    </row>
    <row r="170" spans="1:11" x14ac:dyDescent="0.25">
      <c r="A170" s="3">
        <v>45059</v>
      </c>
      <c r="B170" s="1" t="s">
        <v>7</v>
      </c>
      <c r="C170" s="1" t="s">
        <v>141</v>
      </c>
      <c r="D170" s="4">
        <v>12.29</v>
      </c>
      <c r="E170" s="4">
        <v>17</v>
      </c>
      <c r="F170" s="4">
        <f>Sales_data[[#This Row],[Selling Price (PHP)]]-Sales_data[[#This Row],[Base Price (PHP)]]</f>
        <v>4.7100000000000009</v>
      </c>
      <c r="G170" s="4">
        <v>7</v>
      </c>
      <c r="H170" s="4">
        <f>Sales_data[[#This Row],[Quantity]]*Sales_data[[#This Row],[Base Price (PHP)]]</f>
        <v>86.03</v>
      </c>
      <c r="I170" s="4">
        <f>Sales_data[[#This Row],[Selling Price (PHP)]]*Sales_data[[#This Row],[Quantity]]</f>
        <v>119</v>
      </c>
      <c r="J170" s="4">
        <f>Sales_data[[#This Row],[Revenue]]*Sales_data[[#This Row],[Quantity]]</f>
        <v>32.970000000000006</v>
      </c>
      <c r="K170" s="4" t="s">
        <v>241</v>
      </c>
    </row>
    <row r="171" spans="1:11" x14ac:dyDescent="0.25">
      <c r="A171" s="3">
        <v>45060</v>
      </c>
      <c r="B171" s="1" t="s">
        <v>30</v>
      </c>
      <c r="C171" s="1" t="s">
        <v>105</v>
      </c>
      <c r="D171" s="4">
        <v>19.829999999999998</v>
      </c>
      <c r="E171" s="4">
        <v>24</v>
      </c>
      <c r="F171" s="4">
        <f>Sales_data[[#This Row],[Selling Price (PHP)]]-Sales_data[[#This Row],[Base Price (PHP)]]</f>
        <v>4.1700000000000017</v>
      </c>
      <c r="G171" s="4">
        <v>10</v>
      </c>
      <c r="H171" s="4">
        <f>Sales_data[[#This Row],[Quantity]]*Sales_data[[#This Row],[Base Price (PHP)]]</f>
        <v>198.29999999999998</v>
      </c>
      <c r="I171" s="4">
        <f>Sales_data[[#This Row],[Selling Price (PHP)]]*Sales_data[[#This Row],[Quantity]]</f>
        <v>240</v>
      </c>
      <c r="J171" s="4">
        <f>Sales_data[[#This Row],[Revenue]]*Sales_data[[#This Row],[Quantity]]</f>
        <v>41.700000000000017</v>
      </c>
      <c r="K171" s="4" t="s">
        <v>242</v>
      </c>
    </row>
    <row r="172" spans="1:11" x14ac:dyDescent="0.25">
      <c r="A172" s="3">
        <v>45060</v>
      </c>
      <c r="B172" s="1" t="s">
        <v>18</v>
      </c>
      <c r="C172" s="1" t="s">
        <v>33</v>
      </c>
      <c r="D172" s="4">
        <v>16.170000000000002</v>
      </c>
      <c r="E172" s="4">
        <v>20</v>
      </c>
      <c r="F172" s="4">
        <f>Sales_data[[#This Row],[Selling Price (PHP)]]-Sales_data[[#This Row],[Base Price (PHP)]]</f>
        <v>3.8299999999999983</v>
      </c>
      <c r="G172" s="4">
        <v>8</v>
      </c>
      <c r="H172" s="4">
        <f>Sales_data[[#This Row],[Quantity]]*Sales_data[[#This Row],[Base Price (PHP)]]</f>
        <v>129.36000000000001</v>
      </c>
      <c r="I172" s="4">
        <f>Sales_data[[#This Row],[Selling Price (PHP)]]*Sales_data[[#This Row],[Quantity]]</f>
        <v>160</v>
      </c>
      <c r="J172" s="4">
        <f>Sales_data[[#This Row],[Revenue]]*Sales_data[[#This Row],[Quantity]]</f>
        <v>30.639999999999986</v>
      </c>
      <c r="K172" s="4" t="s">
        <v>243</v>
      </c>
    </row>
    <row r="173" spans="1:11" x14ac:dyDescent="0.25">
      <c r="A173" s="3">
        <v>45060</v>
      </c>
      <c r="B173" s="1" t="s">
        <v>91</v>
      </c>
      <c r="C173" s="1" t="s">
        <v>207</v>
      </c>
      <c r="D173" s="4">
        <v>22.25</v>
      </c>
      <c r="E173" s="4">
        <v>30</v>
      </c>
      <c r="F173" s="4">
        <f>Sales_data[[#This Row],[Selling Price (PHP)]]-Sales_data[[#This Row],[Base Price (PHP)]]</f>
        <v>7.75</v>
      </c>
      <c r="G173" s="4">
        <v>7</v>
      </c>
      <c r="H173" s="4">
        <f>Sales_data[[#This Row],[Quantity]]*Sales_data[[#This Row],[Base Price (PHP)]]</f>
        <v>155.75</v>
      </c>
      <c r="I173" s="4">
        <f>Sales_data[[#This Row],[Selling Price (PHP)]]*Sales_data[[#This Row],[Quantity]]</f>
        <v>210</v>
      </c>
      <c r="J173" s="4">
        <f>Sales_data[[#This Row],[Revenue]]*Sales_data[[#This Row],[Quantity]]</f>
        <v>54.25</v>
      </c>
      <c r="K173" s="4" t="s">
        <v>244</v>
      </c>
    </row>
    <row r="174" spans="1:11" x14ac:dyDescent="0.25">
      <c r="A174" s="3">
        <v>45061</v>
      </c>
      <c r="B174" s="1" t="s">
        <v>10</v>
      </c>
      <c r="C174" s="1" t="s">
        <v>43</v>
      </c>
      <c r="D174" s="4">
        <v>43.5</v>
      </c>
      <c r="E174" s="4">
        <v>55</v>
      </c>
      <c r="F174" s="4">
        <f>Sales_data[[#This Row],[Selling Price (PHP)]]-Sales_data[[#This Row],[Base Price (PHP)]]</f>
        <v>11.5</v>
      </c>
      <c r="G174" s="4">
        <v>5</v>
      </c>
      <c r="H174" s="4">
        <f>Sales_data[[#This Row],[Quantity]]*Sales_data[[#This Row],[Base Price (PHP)]]</f>
        <v>217.5</v>
      </c>
      <c r="I174" s="4">
        <f>Sales_data[[#This Row],[Selling Price (PHP)]]*Sales_data[[#This Row],[Quantity]]</f>
        <v>275</v>
      </c>
      <c r="J174" s="4">
        <f>Sales_data[[#This Row],[Revenue]]*Sales_data[[#This Row],[Quantity]]</f>
        <v>57.5</v>
      </c>
      <c r="K174" s="4" t="s">
        <v>245</v>
      </c>
    </row>
    <row r="175" spans="1:11" x14ac:dyDescent="0.25">
      <c r="A175" s="3">
        <v>45061</v>
      </c>
      <c r="B175" s="1" t="s">
        <v>7</v>
      </c>
      <c r="C175" s="1" t="s">
        <v>133</v>
      </c>
      <c r="D175" s="4">
        <v>10.25</v>
      </c>
      <c r="E175" s="4">
        <v>15</v>
      </c>
      <c r="F175" s="4">
        <f>Sales_data[[#This Row],[Selling Price (PHP)]]-Sales_data[[#This Row],[Base Price (PHP)]]</f>
        <v>4.75</v>
      </c>
      <c r="G175" s="4">
        <v>5</v>
      </c>
      <c r="H175" s="4">
        <f>Sales_data[[#This Row],[Quantity]]*Sales_data[[#This Row],[Base Price (PHP)]]</f>
        <v>51.25</v>
      </c>
      <c r="I175" s="4">
        <f>Sales_data[[#This Row],[Selling Price (PHP)]]*Sales_data[[#This Row],[Quantity]]</f>
        <v>75</v>
      </c>
      <c r="J175" s="4">
        <f>Sales_data[[#This Row],[Revenue]]*Sales_data[[#This Row],[Quantity]]</f>
        <v>23.75</v>
      </c>
      <c r="K175" s="4" t="s">
        <v>246</v>
      </c>
    </row>
    <row r="176" spans="1:11" x14ac:dyDescent="0.25">
      <c r="A176" s="3">
        <v>45061</v>
      </c>
      <c r="B176" s="1" t="s">
        <v>7</v>
      </c>
      <c r="C176" s="1" t="s">
        <v>133</v>
      </c>
      <c r="D176" s="4">
        <v>10.25</v>
      </c>
      <c r="E176" s="4">
        <v>15</v>
      </c>
      <c r="F176" s="4">
        <f>Sales_data[[#This Row],[Selling Price (PHP)]]-Sales_data[[#This Row],[Base Price (PHP)]]</f>
        <v>4.75</v>
      </c>
      <c r="G176" s="4">
        <v>3</v>
      </c>
      <c r="H176" s="4">
        <f>Sales_data[[#This Row],[Quantity]]*Sales_data[[#This Row],[Base Price (PHP)]]</f>
        <v>30.75</v>
      </c>
      <c r="I176" s="4">
        <f>Sales_data[[#This Row],[Selling Price (PHP)]]*Sales_data[[#This Row],[Quantity]]</f>
        <v>45</v>
      </c>
      <c r="J176" s="4">
        <f>Sales_data[[#This Row],[Revenue]]*Sales_data[[#This Row],[Quantity]]</f>
        <v>14.25</v>
      </c>
      <c r="K176" s="4" t="s">
        <v>247</v>
      </c>
    </row>
    <row r="177" spans="1:11" x14ac:dyDescent="0.25">
      <c r="A177" s="3">
        <v>45061</v>
      </c>
      <c r="B177" s="1" t="s">
        <v>7</v>
      </c>
      <c r="C177" s="1" t="s">
        <v>133</v>
      </c>
      <c r="D177" s="4">
        <v>10.25</v>
      </c>
      <c r="E177" s="4">
        <v>15</v>
      </c>
      <c r="F177" s="4">
        <f>Sales_data[[#This Row],[Selling Price (PHP)]]-Sales_data[[#This Row],[Base Price (PHP)]]</f>
        <v>4.75</v>
      </c>
      <c r="G177" s="4">
        <v>3</v>
      </c>
      <c r="H177" s="4">
        <f>Sales_data[[#This Row],[Quantity]]*Sales_data[[#This Row],[Base Price (PHP)]]</f>
        <v>30.75</v>
      </c>
      <c r="I177" s="4">
        <f>Sales_data[[#This Row],[Selling Price (PHP)]]*Sales_data[[#This Row],[Quantity]]</f>
        <v>45</v>
      </c>
      <c r="J177" s="4">
        <f>Sales_data[[#This Row],[Revenue]]*Sales_data[[#This Row],[Quantity]]</f>
        <v>14.25</v>
      </c>
      <c r="K177" s="4" t="s">
        <v>248</v>
      </c>
    </row>
    <row r="178" spans="1:11" x14ac:dyDescent="0.25">
      <c r="A178" s="3">
        <v>45062</v>
      </c>
      <c r="B178" s="1" t="s">
        <v>7</v>
      </c>
      <c r="C178" s="1" t="s">
        <v>133</v>
      </c>
      <c r="D178" s="4">
        <v>10.25</v>
      </c>
      <c r="E178" s="4">
        <v>15</v>
      </c>
      <c r="F178" s="4">
        <f>Sales_data[[#This Row],[Selling Price (PHP)]]-Sales_data[[#This Row],[Base Price (PHP)]]</f>
        <v>4.75</v>
      </c>
      <c r="G178" s="4">
        <v>8</v>
      </c>
      <c r="H178" s="4">
        <f>Sales_data[[#This Row],[Quantity]]*Sales_data[[#This Row],[Base Price (PHP)]]</f>
        <v>82</v>
      </c>
      <c r="I178" s="4">
        <f>Sales_data[[#This Row],[Selling Price (PHP)]]*Sales_data[[#This Row],[Quantity]]</f>
        <v>120</v>
      </c>
      <c r="J178" s="4">
        <f>Sales_data[[#This Row],[Revenue]]*Sales_data[[#This Row],[Quantity]]</f>
        <v>38</v>
      </c>
      <c r="K178" s="4" t="s">
        <v>249</v>
      </c>
    </row>
    <row r="179" spans="1:11" x14ac:dyDescent="0.25">
      <c r="A179" s="3">
        <v>45063</v>
      </c>
      <c r="B179" s="1" t="s">
        <v>71</v>
      </c>
      <c r="C179" s="1" t="s">
        <v>72</v>
      </c>
      <c r="D179" s="4">
        <v>22</v>
      </c>
      <c r="E179" s="4">
        <v>27</v>
      </c>
      <c r="F179" s="4">
        <f>Sales_data[[#This Row],[Selling Price (PHP)]]-Sales_data[[#This Row],[Base Price (PHP)]]</f>
        <v>5</v>
      </c>
      <c r="G179" s="4">
        <v>3</v>
      </c>
      <c r="H179" s="4">
        <f>Sales_data[[#This Row],[Quantity]]*Sales_data[[#This Row],[Base Price (PHP)]]</f>
        <v>66</v>
      </c>
      <c r="I179" s="4">
        <f>Sales_data[[#This Row],[Selling Price (PHP)]]*Sales_data[[#This Row],[Quantity]]</f>
        <v>81</v>
      </c>
      <c r="J179" s="4">
        <f>Sales_data[[#This Row],[Revenue]]*Sales_data[[#This Row],[Quantity]]</f>
        <v>15</v>
      </c>
      <c r="K179" s="4" t="s">
        <v>250</v>
      </c>
    </row>
    <row r="180" spans="1:11" x14ac:dyDescent="0.25">
      <c r="A180" s="3">
        <v>45063</v>
      </c>
      <c r="B180" s="1" t="s">
        <v>24</v>
      </c>
      <c r="C180" s="1" t="s">
        <v>25</v>
      </c>
      <c r="D180" s="4">
        <v>8.17</v>
      </c>
      <c r="E180" s="4">
        <v>13</v>
      </c>
      <c r="F180" s="4">
        <f>Sales_data[[#This Row],[Selling Price (PHP)]]-Sales_data[[#This Row],[Base Price (PHP)]]</f>
        <v>4.83</v>
      </c>
      <c r="G180" s="4">
        <v>4</v>
      </c>
      <c r="H180" s="4">
        <f>Sales_data[[#This Row],[Quantity]]*Sales_data[[#This Row],[Base Price (PHP)]]</f>
        <v>32.68</v>
      </c>
      <c r="I180" s="4">
        <f>Sales_data[[#This Row],[Selling Price (PHP)]]*Sales_data[[#This Row],[Quantity]]</f>
        <v>52</v>
      </c>
      <c r="J180" s="4">
        <f>Sales_data[[#This Row],[Revenue]]*Sales_data[[#This Row],[Quantity]]</f>
        <v>19.32</v>
      </c>
      <c r="K180" s="4" t="s">
        <v>251</v>
      </c>
    </row>
    <row r="181" spans="1:11" x14ac:dyDescent="0.25">
      <c r="A181" s="3">
        <v>45063</v>
      </c>
      <c r="B181" s="1" t="s">
        <v>24</v>
      </c>
      <c r="C181" s="1" t="s">
        <v>25</v>
      </c>
      <c r="D181" s="4">
        <v>8.17</v>
      </c>
      <c r="E181" s="4">
        <v>13</v>
      </c>
      <c r="F181" s="4">
        <f>Sales_data[[#This Row],[Selling Price (PHP)]]-Sales_data[[#This Row],[Base Price (PHP)]]</f>
        <v>4.83</v>
      </c>
      <c r="G181" s="4">
        <v>3</v>
      </c>
      <c r="H181" s="4">
        <f>Sales_data[[#This Row],[Quantity]]*Sales_data[[#This Row],[Base Price (PHP)]]</f>
        <v>24.509999999999998</v>
      </c>
      <c r="I181" s="4">
        <f>Sales_data[[#This Row],[Selling Price (PHP)]]*Sales_data[[#This Row],[Quantity]]</f>
        <v>39</v>
      </c>
      <c r="J181" s="4">
        <f>Sales_data[[#This Row],[Revenue]]*Sales_data[[#This Row],[Quantity]]</f>
        <v>14.49</v>
      </c>
      <c r="K181" s="4" t="s">
        <v>252</v>
      </c>
    </row>
    <row r="182" spans="1:11" x14ac:dyDescent="0.25">
      <c r="A182" s="3">
        <v>45063</v>
      </c>
      <c r="B182" s="1" t="s">
        <v>24</v>
      </c>
      <c r="C182" s="1" t="s">
        <v>253</v>
      </c>
      <c r="D182" s="4">
        <v>8.17</v>
      </c>
      <c r="E182" s="4">
        <v>13</v>
      </c>
      <c r="F182" s="4">
        <f>Sales_data[[#This Row],[Selling Price (PHP)]]-Sales_data[[#This Row],[Base Price (PHP)]]</f>
        <v>4.83</v>
      </c>
      <c r="G182" s="4">
        <v>2</v>
      </c>
      <c r="H182" s="4">
        <f>Sales_data[[#This Row],[Quantity]]*Sales_data[[#This Row],[Base Price (PHP)]]</f>
        <v>16.34</v>
      </c>
      <c r="I182" s="4">
        <f>Sales_data[[#This Row],[Selling Price (PHP)]]*Sales_data[[#This Row],[Quantity]]</f>
        <v>26</v>
      </c>
      <c r="J182" s="4">
        <f>Sales_data[[#This Row],[Revenue]]*Sales_data[[#This Row],[Quantity]]</f>
        <v>9.66</v>
      </c>
      <c r="K182" s="4" t="s">
        <v>254</v>
      </c>
    </row>
    <row r="183" spans="1:11" x14ac:dyDescent="0.25">
      <c r="A183" s="3">
        <v>45063</v>
      </c>
      <c r="B183" s="1" t="s">
        <v>7</v>
      </c>
      <c r="C183" s="1" t="s">
        <v>133</v>
      </c>
      <c r="D183" s="4">
        <v>10.25</v>
      </c>
      <c r="E183" s="4">
        <v>15</v>
      </c>
      <c r="F183" s="4">
        <f>Sales_data[[#This Row],[Selling Price (PHP)]]-Sales_data[[#This Row],[Base Price (PHP)]]</f>
        <v>4.75</v>
      </c>
      <c r="G183" s="4">
        <v>6</v>
      </c>
      <c r="H183" s="4">
        <f>Sales_data[[#This Row],[Quantity]]*Sales_data[[#This Row],[Base Price (PHP)]]</f>
        <v>61.5</v>
      </c>
      <c r="I183" s="4">
        <f>Sales_data[[#This Row],[Selling Price (PHP)]]*Sales_data[[#This Row],[Quantity]]</f>
        <v>90</v>
      </c>
      <c r="J183" s="4">
        <f>Sales_data[[#This Row],[Revenue]]*Sales_data[[#This Row],[Quantity]]</f>
        <v>28.5</v>
      </c>
      <c r="K183" s="4" t="s">
        <v>255</v>
      </c>
    </row>
    <row r="184" spans="1:11" x14ac:dyDescent="0.25">
      <c r="A184" s="3">
        <v>45064</v>
      </c>
      <c r="B184" s="1" t="s">
        <v>48</v>
      </c>
      <c r="C184" s="1" t="s">
        <v>199</v>
      </c>
      <c r="D184" s="4">
        <v>35.65</v>
      </c>
      <c r="E184" s="4">
        <v>40</v>
      </c>
      <c r="F184" s="4">
        <f>Sales_data[[#This Row],[Selling Price (PHP)]]-Sales_data[[#This Row],[Base Price (PHP)]]</f>
        <v>4.3500000000000014</v>
      </c>
      <c r="G184" s="4">
        <v>9</v>
      </c>
      <c r="H184" s="4">
        <f>Sales_data[[#This Row],[Quantity]]*Sales_data[[#This Row],[Base Price (PHP)]]</f>
        <v>320.84999999999997</v>
      </c>
      <c r="I184" s="4">
        <f>Sales_data[[#This Row],[Selling Price (PHP)]]*Sales_data[[#This Row],[Quantity]]</f>
        <v>360</v>
      </c>
      <c r="J184" s="4">
        <f>Sales_data[[#This Row],[Revenue]]*Sales_data[[#This Row],[Quantity]]</f>
        <v>39.150000000000013</v>
      </c>
      <c r="K184" s="4" t="s">
        <v>256</v>
      </c>
    </row>
    <row r="185" spans="1:11" x14ac:dyDescent="0.25">
      <c r="A185" s="3">
        <v>45064</v>
      </c>
      <c r="B185" s="1" t="s">
        <v>21</v>
      </c>
      <c r="C185" s="1" t="s">
        <v>28</v>
      </c>
      <c r="D185" s="4">
        <v>21.17</v>
      </c>
      <c r="E185" s="4">
        <v>25</v>
      </c>
      <c r="F185" s="4">
        <f>Sales_data[[#This Row],[Selling Price (PHP)]]-Sales_data[[#This Row],[Base Price (PHP)]]</f>
        <v>3.8299999999999983</v>
      </c>
      <c r="G185" s="4">
        <v>5</v>
      </c>
      <c r="H185" s="4">
        <f>Sales_data[[#This Row],[Quantity]]*Sales_data[[#This Row],[Base Price (PHP)]]</f>
        <v>105.85000000000001</v>
      </c>
      <c r="I185" s="4">
        <f>Sales_data[[#This Row],[Selling Price (PHP)]]*Sales_data[[#This Row],[Quantity]]</f>
        <v>125</v>
      </c>
      <c r="J185" s="4">
        <f>Sales_data[[#This Row],[Revenue]]*Sales_data[[#This Row],[Quantity]]</f>
        <v>19.149999999999991</v>
      </c>
      <c r="K185" s="4" t="s">
        <v>257</v>
      </c>
    </row>
    <row r="186" spans="1:11" x14ac:dyDescent="0.25">
      <c r="A186" s="3">
        <v>45065</v>
      </c>
      <c r="B186" s="1" t="s">
        <v>30</v>
      </c>
      <c r="C186" s="1" t="s">
        <v>125</v>
      </c>
      <c r="D186" s="4">
        <v>12.33</v>
      </c>
      <c r="E186" s="4">
        <v>17</v>
      </c>
      <c r="F186" s="4">
        <f>Sales_data[[#This Row],[Selling Price (PHP)]]-Sales_data[[#This Row],[Base Price (PHP)]]</f>
        <v>4.67</v>
      </c>
      <c r="G186" s="4">
        <v>2</v>
      </c>
      <c r="H186" s="4">
        <f>Sales_data[[#This Row],[Quantity]]*Sales_data[[#This Row],[Base Price (PHP)]]</f>
        <v>24.66</v>
      </c>
      <c r="I186" s="4">
        <f>Sales_data[[#This Row],[Selling Price (PHP)]]*Sales_data[[#This Row],[Quantity]]</f>
        <v>34</v>
      </c>
      <c r="J186" s="4">
        <f>Sales_data[[#This Row],[Revenue]]*Sales_data[[#This Row],[Quantity]]</f>
        <v>9.34</v>
      </c>
      <c r="K186" s="4" t="s">
        <v>258</v>
      </c>
    </row>
    <row r="187" spans="1:11" x14ac:dyDescent="0.25">
      <c r="A187" s="3">
        <v>45065</v>
      </c>
      <c r="B187" s="1" t="s">
        <v>91</v>
      </c>
      <c r="C187" s="1" t="s">
        <v>92</v>
      </c>
      <c r="D187" s="4">
        <v>15.5</v>
      </c>
      <c r="E187" s="4">
        <v>20</v>
      </c>
      <c r="F187" s="4">
        <f>Sales_data[[#This Row],[Selling Price (PHP)]]-Sales_data[[#This Row],[Base Price (PHP)]]</f>
        <v>4.5</v>
      </c>
      <c r="G187" s="4">
        <v>2</v>
      </c>
      <c r="H187" s="4">
        <f>Sales_data[[#This Row],[Quantity]]*Sales_data[[#This Row],[Base Price (PHP)]]</f>
        <v>31</v>
      </c>
      <c r="I187" s="4">
        <f>Sales_data[[#This Row],[Selling Price (PHP)]]*Sales_data[[#This Row],[Quantity]]</f>
        <v>40</v>
      </c>
      <c r="J187" s="4">
        <f>Sales_data[[#This Row],[Revenue]]*Sales_data[[#This Row],[Quantity]]</f>
        <v>9</v>
      </c>
      <c r="K187" s="4" t="s">
        <v>259</v>
      </c>
    </row>
    <row r="188" spans="1:11" x14ac:dyDescent="0.25">
      <c r="A188" s="3">
        <v>45065</v>
      </c>
      <c r="B188" s="1" t="s">
        <v>81</v>
      </c>
      <c r="C188" s="1" t="s">
        <v>121</v>
      </c>
      <c r="D188" s="4">
        <v>3.15</v>
      </c>
      <c r="E188" s="4">
        <v>5</v>
      </c>
      <c r="F188" s="4">
        <f>Sales_data[[#This Row],[Selling Price (PHP)]]-Sales_data[[#This Row],[Base Price (PHP)]]</f>
        <v>1.85</v>
      </c>
      <c r="G188" s="4">
        <v>10</v>
      </c>
      <c r="H188" s="4">
        <f>Sales_data[[#This Row],[Quantity]]*Sales_data[[#This Row],[Base Price (PHP)]]</f>
        <v>31.5</v>
      </c>
      <c r="I188" s="4">
        <f>Sales_data[[#This Row],[Selling Price (PHP)]]*Sales_data[[#This Row],[Quantity]]</f>
        <v>50</v>
      </c>
      <c r="J188" s="4">
        <f>Sales_data[[#This Row],[Revenue]]*Sales_data[[#This Row],[Quantity]]</f>
        <v>18.5</v>
      </c>
      <c r="K188" s="4" t="s">
        <v>260</v>
      </c>
    </row>
    <row r="189" spans="1:11" x14ac:dyDescent="0.25">
      <c r="A189" s="3">
        <v>45065</v>
      </c>
      <c r="B189" s="1" t="s">
        <v>81</v>
      </c>
      <c r="C189" s="1" t="s">
        <v>121</v>
      </c>
      <c r="D189" s="4">
        <v>3.15</v>
      </c>
      <c r="E189" s="4">
        <v>5</v>
      </c>
      <c r="F189" s="4">
        <f>Sales_data[[#This Row],[Selling Price (PHP)]]-Sales_data[[#This Row],[Base Price (PHP)]]</f>
        <v>1.85</v>
      </c>
      <c r="G189" s="4">
        <v>4</v>
      </c>
      <c r="H189" s="4">
        <f>Sales_data[[#This Row],[Quantity]]*Sales_data[[#This Row],[Base Price (PHP)]]</f>
        <v>12.6</v>
      </c>
      <c r="I189" s="4">
        <f>Sales_data[[#This Row],[Selling Price (PHP)]]*Sales_data[[#This Row],[Quantity]]</f>
        <v>20</v>
      </c>
      <c r="J189" s="4">
        <f>Sales_data[[#This Row],[Revenue]]*Sales_data[[#This Row],[Quantity]]</f>
        <v>7.4</v>
      </c>
      <c r="K189" s="4" t="s">
        <v>261</v>
      </c>
    </row>
    <row r="190" spans="1:11" x14ac:dyDescent="0.25">
      <c r="A190" s="3">
        <v>45065</v>
      </c>
      <c r="B190" s="1" t="s">
        <v>7</v>
      </c>
      <c r="C190" s="1" t="s">
        <v>133</v>
      </c>
      <c r="D190" s="4">
        <v>10.25</v>
      </c>
      <c r="E190" s="4">
        <v>15</v>
      </c>
      <c r="F190" s="4">
        <f>Sales_data[[#This Row],[Selling Price (PHP)]]-Sales_data[[#This Row],[Base Price (PHP)]]</f>
        <v>4.75</v>
      </c>
      <c r="G190" s="4">
        <v>6</v>
      </c>
      <c r="H190" s="4">
        <f>Sales_data[[#This Row],[Quantity]]*Sales_data[[#This Row],[Base Price (PHP)]]</f>
        <v>61.5</v>
      </c>
      <c r="I190" s="4">
        <f>Sales_data[[#This Row],[Selling Price (PHP)]]*Sales_data[[#This Row],[Quantity]]</f>
        <v>90</v>
      </c>
      <c r="J190" s="4">
        <f>Sales_data[[#This Row],[Revenue]]*Sales_data[[#This Row],[Quantity]]</f>
        <v>28.5</v>
      </c>
      <c r="K190" s="4" t="s">
        <v>262</v>
      </c>
    </row>
    <row r="191" spans="1:11" x14ac:dyDescent="0.25">
      <c r="A191" s="3">
        <v>45066</v>
      </c>
      <c r="B191" s="1" t="s">
        <v>24</v>
      </c>
      <c r="C191" s="1" t="s">
        <v>116</v>
      </c>
      <c r="D191" s="4">
        <v>7.5</v>
      </c>
      <c r="E191" s="4">
        <v>12</v>
      </c>
      <c r="F191" s="4">
        <f>Sales_data[[#This Row],[Selling Price (PHP)]]-Sales_data[[#This Row],[Base Price (PHP)]]</f>
        <v>4.5</v>
      </c>
      <c r="G191" s="4">
        <v>3</v>
      </c>
      <c r="H191" s="4">
        <f>Sales_data[[#This Row],[Quantity]]*Sales_data[[#This Row],[Base Price (PHP)]]</f>
        <v>22.5</v>
      </c>
      <c r="I191" s="4">
        <f>Sales_data[[#This Row],[Selling Price (PHP)]]*Sales_data[[#This Row],[Quantity]]</f>
        <v>36</v>
      </c>
      <c r="J191" s="4">
        <f>Sales_data[[#This Row],[Revenue]]*Sales_data[[#This Row],[Quantity]]</f>
        <v>13.5</v>
      </c>
      <c r="K191" s="4" t="s">
        <v>263</v>
      </c>
    </row>
    <row r="192" spans="1:11" x14ac:dyDescent="0.25">
      <c r="A192" s="3">
        <v>45067</v>
      </c>
      <c r="B192" s="1" t="s">
        <v>71</v>
      </c>
      <c r="C192" s="1" t="s">
        <v>161</v>
      </c>
      <c r="D192" s="4">
        <v>48.67</v>
      </c>
      <c r="E192" s="4">
        <v>58</v>
      </c>
      <c r="F192" s="4">
        <f>Sales_data[[#This Row],[Selling Price (PHP)]]-Sales_data[[#This Row],[Base Price (PHP)]]</f>
        <v>9.3299999999999983</v>
      </c>
      <c r="G192" s="4">
        <v>7</v>
      </c>
      <c r="H192" s="4">
        <f>Sales_data[[#This Row],[Quantity]]*Sales_data[[#This Row],[Base Price (PHP)]]</f>
        <v>340.69</v>
      </c>
      <c r="I192" s="4">
        <f>Sales_data[[#This Row],[Selling Price (PHP)]]*Sales_data[[#This Row],[Quantity]]</f>
        <v>406</v>
      </c>
      <c r="J192" s="4">
        <f>Sales_data[[#This Row],[Revenue]]*Sales_data[[#This Row],[Quantity]]</f>
        <v>65.309999999999988</v>
      </c>
      <c r="K192" s="4" t="s">
        <v>264</v>
      </c>
    </row>
    <row r="193" spans="1:11" x14ac:dyDescent="0.25">
      <c r="A193" s="3">
        <v>45067</v>
      </c>
      <c r="B193" s="1" t="s">
        <v>7</v>
      </c>
      <c r="C193" s="1" t="s">
        <v>141</v>
      </c>
      <c r="D193" s="4">
        <v>12.29</v>
      </c>
      <c r="E193" s="4">
        <v>17</v>
      </c>
      <c r="F193" s="4">
        <f>Sales_data[[#This Row],[Selling Price (PHP)]]-Sales_data[[#This Row],[Base Price (PHP)]]</f>
        <v>4.7100000000000009</v>
      </c>
      <c r="G193" s="4">
        <v>6</v>
      </c>
      <c r="H193" s="4">
        <f>Sales_data[[#This Row],[Quantity]]*Sales_data[[#This Row],[Base Price (PHP)]]</f>
        <v>73.739999999999995</v>
      </c>
      <c r="I193" s="4">
        <f>Sales_data[[#This Row],[Selling Price (PHP)]]*Sales_data[[#This Row],[Quantity]]</f>
        <v>102</v>
      </c>
      <c r="J193" s="4">
        <f>Sales_data[[#This Row],[Revenue]]*Sales_data[[#This Row],[Quantity]]</f>
        <v>28.260000000000005</v>
      </c>
      <c r="K193" s="4" t="s">
        <v>265</v>
      </c>
    </row>
    <row r="194" spans="1:11" x14ac:dyDescent="0.25">
      <c r="A194" s="3">
        <v>45067</v>
      </c>
      <c r="B194" s="1" t="s">
        <v>7</v>
      </c>
      <c r="C194" s="1" t="s">
        <v>141</v>
      </c>
      <c r="D194" s="4">
        <v>12.29</v>
      </c>
      <c r="E194" s="4">
        <v>17</v>
      </c>
      <c r="F194" s="4">
        <f>Sales_data[[#This Row],[Selling Price (PHP)]]-Sales_data[[#This Row],[Base Price (PHP)]]</f>
        <v>4.7100000000000009</v>
      </c>
      <c r="G194" s="4">
        <v>2</v>
      </c>
      <c r="H194" s="4">
        <f>Sales_data[[#This Row],[Quantity]]*Sales_data[[#This Row],[Base Price (PHP)]]</f>
        <v>24.58</v>
      </c>
      <c r="I194" s="4">
        <f>Sales_data[[#This Row],[Selling Price (PHP)]]*Sales_data[[#This Row],[Quantity]]</f>
        <v>34</v>
      </c>
      <c r="J194" s="4">
        <f>Sales_data[[#This Row],[Revenue]]*Sales_data[[#This Row],[Quantity]]</f>
        <v>9.4200000000000017</v>
      </c>
      <c r="K194" s="4" t="s">
        <v>266</v>
      </c>
    </row>
    <row r="195" spans="1:11" x14ac:dyDescent="0.25">
      <c r="A195" s="3">
        <v>45067</v>
      </c>
      <c r="B195" s="1" t="s">
        <v>7</v>
      </c>
      <c r="C195" s="1" t="s">
        <v>141</v>
      </c>
      <c r="D195" s="4">
        <v>12.29</v>
      </c>
      <c r="E195" s="4">
        <v>17</v>
      </c>
      <c r="F195" s="4">
        <f>Sales_data[[#This Row],[Selling Price (PHP)]]-Sales_data[[#This Row],[Base Price (PHP)]]</f>
        <v>4.7100000000000009</v>
      </c>
      <c r="G195" s="4">
        <v>2</v>
      </c>
      <c r="H195" s="4">
        <f>Sales_data[[#This Row],[Quantity]]*Sales_data[[#This Row],[Base Price (PHP)]]</f>
        <v>24.58</v>
      </c>
      <c r="I195" s="4">
        <f>Sales_data[[#This Row],[Selling Price (PHP)]]*Sales_data[[#This Row],[Quantity]]</f>
        <v>34</v>
      </c>
      <c r="J195" s="4">
        <f>Sales_data[[#This Row],[Revenue]]*Sales_data[[#This Row],[Quantity]]</f>
        <v>9.4200000000000017</v>
      </c>
      <c r="K195" s="4" t="s">
        <v>267</v>
      </c>
    </row>
    <row r="196" spans="1:11" x14ac:dyDescent="0.25">
      <c r="A196" s="3">
        <v>45068</v>
      </c>
      <c r="B196" s="1" t="s">
        <v>91</v>
      </c>
      <c r="C196" s="1" t="s">
        <v>185</v>
      </c>
      <c r="D196" s="4">
        <v>18</v>
      </c>
      <c r="E196" s="4">
        <v>25</v>
      </c>
      <c r="F196" s="4">
        <f>Sales_data[[#This Row],[Selling Price (PHP)]]-Sales_data[[#This Row],[Base Price (PHP)]]</f>
        <v>7</v>
      </c>
      <c r="G196" s="4">
        <v>7</v>
      </c>
      <c r="H196" s="4">
        <f>Sales_data[[#This Row],[Quantity]]*Sales_data[[#This Row],[Base Price (PHP)]]</f>
        <v>126</v>
      </c>
      <c r="I196" s="4">
        <f>Sales_data[[#This Row],[Selling Price (PHP)]]*Sales_data[[#This Row],[Quantity]]</f>
        <v>175</v>
      </c>
      <c r="J196" s="4">
        <f>Sales_data[[#This Row],[Revenue]]*Sales_data[[#This Row],[Quantity]]</f>
        <v>49</v>
      </c>
      <c r="K196" s="4" t="s">
        <v>268</v>
      </c>
    </row>
    <row r="197" spans="1:11" x14ac:dyDescent="0.25">
      <c r="A197" s="3">
        <v>45068</v>
      </c>
      <c r="B197" s="1" t="s">
        <v>81</v>
      </c>
      <c r="C197" s="1" t="s">
        <v>85</v>
      </c>
      <c r="D197" s="4">
        <v>2.4500000000000002</v>
      </c>
      <c r="E197" s="4">
        <v>4</v>
      </c>
      <c r="F197" s="4">
        <f>Sales_data[[#This Row],[Selling Price (PHP)]]-Sales_data[[#This Row],[Base Price (PHP)]]</f>
        <v>1.5499999999999998</v>
      </c>
      <c r="G197" s="4">
        <v>2</v>
      </c>
      <c r="H197" s="4">
        <f>Sales_data[[#This Row],[Quantity]]*Sales_data[[#This Row],[Base Price (PHP)]]</f>
        <v>4.9000000000000004</v>
      </c>
      <c r="I197" s="4">
        <f>Sales_data[[#This Row],[Selling Price (PHP)]]*Sales_data[[#This Row],[Quantity]]</f>
        <v>8</v>
      </c>
      <c r="J197" s="4">
        <f>Sales_data[[#This Row],[Revenue]]*Sales_data[[#This Row],[Quantity]]</f>
        <v>3.0999999999999996</v>
      </c>
      <c r="K197" s="4" t="s">
        <v>269</v>
      </c>
    </row>
    <row r="198" spans="1:11" x14ac:dyDescent="0.25">
      <c r="A198" s="3">
        <v>45068</v>
      </c>
      <c r="B198" s="1" t="s">
        <v>7</v>
      </c>
      <c r="C198" s="1" t="s">
        <v>141</v>
      </c>
      <c r="D198" s="4">
        <v>12.29</v>
      </c>
      <c r="E198" s="4">
        <v>17</v>
      </c>
      <c r="F198" s="4">
        <f>Sales_data[[#This Row],[Selling Price (PHP)]]-Sales_data[[#This Row],[Base Price (PHP)]]</f>
        <v>4.7100000000000009</v>
      </c>
      <c r="G198" s="4">
        <v>6</v>
      </c>
      <c r="H198" s="4">
        <f>Sales_data[[#This Row],[Quantity]]*Sales_data[[#This Row],[Base Price (PHP)]]</f>
        <v>73.739999999999995</v>
      </c>
      <c r="I198" s="4">
        <f>Sales_data[[#This Row],[Selling Price (PHP)]]*Sales_data[[#This Row],[Quantity]]</f>
        <v>102</v>
      </c>
      <c r="J198" s="4">
        <f>Sales_data[[#This Row],[Revenue]]*Sales_data[[#This Row],[Quantity]]</f>
        <v>28.260000000000005</v>
      </c>
      <c r="K198" s="4" t="s">
        <v>270</v>
      </c>
    </row>
    <row r="199" spans="1:11" x14ac:dyDescent="0.25">
      <c r="A199" s="3">
        <v>45069</v>
      </c>
      <c r="B199" s="1" t="s">
        <v>30</v>
      </c>
      <c r="C199" s="1" t="s">
        <v>31</v>
      </c>
      <c r="D199" s="4">
        <v>20.329999999999998</v>
      </c>
      <c r="E199" s="4">
        <v>25</v>
      </c>
      <c r="F199" s="4">
        <f>Sales_data[[#This Row],[Selling Price (PHP)]]-Sales_data[[#This Row],[Base Price (PHP)]]</f>
        <v>4.6700000000000017</v>
      </c>
      <c r="G199" s="4">
        <v>6</v>
      </c>
      <c r="H199" s="4">
        <f>Sales_data[[#This Row],[Quantity]]*Sales_data[[#This Row],[Base Price (PHP)]]</f>
        <v>121.97999999999999</v>
      </c>
      <c r="I199" s="4">
        <f>Sales_data[[#This Row],[Selling Price (PHP)]]*Sales_data[[#This Row],[Quantity]]</f>
        <v>150</v>
      </c>
      <c r="J199" s="4">
        <f>Sales_data[[#This Row],[Revenue]]*Sales_data[[#This Row],[Quantity]]</f>
        <v>28.02000000000001</v>
      </c>
      <c r="K199" s="4" t="s">
        <v>271</v>
      </c>
    </row>
    <row r="200" spans="1:11" x14ac:dyDescent="0.25">
      <c r="A200" s="3">
        <v>45069</v>
      </c>
      <c r="B200" s="1" t="s">
        <v>24</v>
      </c>
      <c r="C200" s="1" t="s">
        <v>109</v>
      </c>
      <c r="D200" s="4">
        <v>10.5</v>
      </c>
      <c r="E200" s="4">
        <v>15</v>
      </c>
      <c r="F200" s="4">
        <f>Sales_data[[#This Row],[Selling Price (PHP)]]-Sales_data[[#This Row],[Base Price (PHP)]]</f>
        <v>4.5</v>
      </c>
      <c r="G200" s="4">
        <v>5</v>
      </c>
      <c r="H200" s="4">
        <f>Sales_data[[#This Row],[Quantity]]*Sales_data[[#This Row],[Base Price (PHP)]]</f>
        <v>52.5</v>
      </c>
      <c r="I200" s="4">
        <f>Sales_data[[#This Row],[Selling Price (PHP)]]*Sales_data[[#This Row],[Quantity]]</f>
        <v>75</v>
      </c>
      <c r="J200" s="4">
        <f>Sales_data[[#This Row],[Revenue]]*Sales_data[[#This Row],[Quantity]]</f>
        <v>22.5</v>
      </c>
      <c r="K200" s="4" t="s">
        <v>272</v>
      </c>
    </row>
    <row r="201" spans="1:11" x14ac:dyDescent="0.25">
      <c r="A201" s="3">
        <v>45069</v>
      </c>
      <c r="B201" s="1" t="s">
        <v>7</v>
      </c>
      <c r="C201" s="1" t="s">
        <v>39</v>
      </c>
      <c r="D201" s="4">
        <v>7.83</v>
      </c>
      <c r="E201" s="4">
        <v>12</v>
      </c>
      <c r="F201" s="4">
        <f>Sales_data[[#This Row],[Selling Price (PHP)]]-Sales_data[[#This Row],[Base Price (PHP)]]</f>
        <v>4.17</v>
      </c>
      <c r="G201" s="4">
        <v>3</v>
      </c>
      <c r="H201" s="4">
        <f>Sales_data[[#This Row],[Quantity]]*Sales_data[[#This Row],[Base Price (PHP)]]</f>
        <v>23.490000000000002</v>
      </c>
      <c r="I201" s="4">
        <f>Sales_data[[#This Row],[Selling Price (PHP)]]*Sales_data[[#This Row],[Quantity]]</f>
        <v>36</v>
      </c>
      <c r="J201" s="4">
        <f>Sales_data[[#This Row],[Revenue]]*Sales_data[[#This Row],[Quantity]]</f>
        <v>12.51</v>
      </c>
      <c r="K201" s="4" t="s">
        <v>273</v>
      </c>
    </row>
    <row r="202" spans="1:11" x14ac:dyDescent="0.25">
      <c r="A202" s="3">
        <v>45070</v>
      </c>
      <c r="B202" s="1" t="s">
        <v>18</v>
      </c>
      <c r="C202" s="1" t="s">
        <v>19</v>
      </c>
      <c r="D202" s="4">
        <v>18.5</v>
      </c>
      <c r="E202" s="4">
        <v>23</v>
      </c>
      <c r="F202" s="4">
        <f>Sales_data[[#This Row],[Selling Price (PHP)]]-Sales_data[[#This Row],[Base Price (PHP)]]</f>
        <v>4.5</v>
      </c>
      <c r="G202" s="4">
        <v>3</v>
      </c>
      <c r="H202" s="4">
        <f>Sales_data[[#This Row],[Quantity]]*Sales_data[[#This Row],[Base Price (PHP)]]</f>
        <v>55.5</v>
      </c>
      <c r="I202" s="4">
        <f>Sales_data[[#This Row],[Selling Price (PHP)]]*Sales_data[[#This Row],[Quantity]]</f>
        <v>69</v>
      </c>
      <c r="J202" s="4">
        <f>Sales_data[[#This Row],[Revenue]]*Sales_data[[#This Row],[Quantity]]</f>
        <v>13.5</v>
      </c>
      <c r="K202" s="4" t="s">
        <v>274</v>
      </c>
    </row>
    <row r="203" spans="1:11" x14ac:dyDescent="0.25">
      <c r="A203" s="3">
        <v>45070</v>
      </c>
      <c r="B203" s="1" t="s">
        <v>24</v>
      </c>
      <c r="C203" s="1" t="s">
        <v>253</v>
      </c>
      <c r="D203" s="4">
        <v>8.17</v>
      </c>
      <c r="E203" s="4">
        <v>13</v>
      </c>
      <c r="F203" s="4">
        <f>Sales_data[[#This Row],[Selling Price (PHP)]]-Sales_data[[#This Row],[Base Price (PHP)]]</f>
        <v>4.83</v>
      </c>
      <c r="G203" s="4">
        <v>9</v>
      </c>
      <c r="H203" s="4">
        <f>Sales_data[[#This Row],[Quantity]]*Sales_data[[#This Row],[Base Price (PHP)]]</f>
        <v>73.53</v>
      </c>
      <c r="I203" s="4">
        <f>Sales_data[[#This Row],[Selling Price (PHP)]]*Sales_data[[#This Row],[Quantity]]</f>
        <v>117</v>
      </c>
      <c r="J203" s="4">
        <f>Sales_data[[#This Row],[Revenue]]*Sales_data[[#This Row],[Quantity]]</f>
        <v>43.47</v>
      </c>
      <c r="K203" s="4" t="s">
        <v>275</v>
      </c>
    </row>
    <row r="204" spans="1:11" x14ac:dyDescent="0.25">
      <c r="A204" s="3">
        <v>45070</v>
      </c>
      <c r="B204" s="1" t="s">
        <v>24</v>
      </c>
      <c r="C204" s="1" t="s">
        <v>253</v>
      </c>
      <c r="D204" s="4">
        <v>8.17</v>
      </c>
      <c r="E204" s="4">
        <v>13</v>
      </c>
      <c r="F204" s="4">
        <f>Sales_data[[#This Row],[Selling Price (PHP)]]-Sales_data[[#This Row],[Base Price (PHP)]]</f>
        <v>4.83</v>
      </c>
      <c r="G204" s="4">
        <v>3</v>
      </c>
      <c r="H204" s="4">
        <f>Sales_data[[#This Row],[Quantity]]*Sales_data[[#This Row],[Base Price (PHP)]]</f>
        <v>24.509999999999998</v>
      </c>
      <c r="I204" s="4">
        <f>Sales_data[[#This Row],[Selling Price (PHP)]]*Sales_data[[#This Row],[Quantity]]</f>
        <v>39</v>
      </c>
      <c r="J204" s="4">
        <f>Sales_data[[#This Row],[Revenue]]*Sales_data[[#This Row],[Quantity]]</f>
        <v>14.49</v>
      </c>
      <c r="K204" s="4" t="s">
        <v>276</v>
      </c>
    </row>
    <row r="205" spans="1:11" x14ac:dyDescent="0.25">
      <c r="A205" s="3">
        <v>45070</v>
      </c>
      <c r="B205" s="1" t="s">
        <v>7</v>
      </c>
      <c r="C205" s="1" t="s">
        <v>141</v>
      </c>
      <c r="D205" s="4">
        <v>12.29</v>
      </c>
      <c r="E205" s="4">
        <v>17</v>
      </c>
      <c r="F205" s="4">
        <f>Sales_data[[#This Row],[Selling Price (PHP)]]-Sales_data[[#This Row],[Base Price (PHP)]]</f>
        <v>4.7100000000000009</v>
      </c>
      <c r="G205" s="4">
        <v>3</v>
      </c>
      <c r="H205" s="4">
        <f>Sales_data[[#This Row],[Quantity]]*Sales_data[[#This Row],[Base Price (PHP)]]</f>
        <v>36.869999999999997</v>
      </c>
      <c r="I205" s="4">
        <f>Sales_data[[#This Row],[Selling Price (PHP)]]*Sales_data[[#This Row],[Quantity]]</f>
        <v>51</v>
      </c>
      <c r="J205" s="4">
        <f>Sales_data[[#This Row],[Revenue]]*Sales_data[[#This Row],[Quantity]]</f>
        <v>14.130000000000003</v>
      </c>
      <c r="K205" s="4" t="s">
        <v>277</v>
      </c>
    </row>
    <row r="206" spans="1:11" x14ac:dyDescent="0.25">
      <c r="A206" s="3">
        <v>45072</v>
      </c>
      <c r="B206" s="1" t="s">
        <v>7</v>
      </c>
      <c r="C206" s="1" t="s">
        <v>52</v>
      </c>
      <c r="D206" s="4">
        <v>14.5</v>
      </c>
      <c r="E206" s="4">
        <v>19</v>
      </c>
      <c r="F206" s="4">
        <f>Sales_data[[#This Row],[Selling Price (PHP)]]-Sales_data[[#This Row],[Base Price (PHP)]]</f>
        <v>4.5</v>
      </c>
      <c r="G206" s="4">
        <v>2</v>
      </c>
      <c r="H206" s="4">
        <f>Sales_data[[#This Row],[Quantity]]*Sales_data[[#This Row],[Base Price (PHP)]]</f>
        <v>29</v>
      </c>
      <c r="I206" s="4">
        <f>Sales_data[[#This Row],[Selling Price (PHP)]]*Sales_data[[#This Row],[Quantity]]</f>
        <v>38</v>
      </c>
      <c r="J206" s="4">
        <f>Sales_data[[#This Row],[Revenue]]*Sales_data[[#This Row],[Quantity]]</f>
        <v>9</v>
      </c>
      <c r="K206" s="4" t="s">
        <v>278</v>
      </c>
    </row>
    <row r="207" spans="1:11" x14ac:dyDescent="0.25">
      <c r="A207" s="3">
        <v>45073</v>
      </c>
      <c r="B207" s="1" t="s">
        <v>48</v>
      </c>
      <c r="C207" s="1" t="s">
        <v>199</v>
      </c>
      <c r="D207" s="4">
        <v>35.65</v>
      </c>
      <c r="E207" s="4">
        <v>40</v>
      </c>
      <c r="F207" s="4">
        <f>Sales_data[[#This Row],[Selling Price (PHP)]]-Sales_data[[#This Row],[Base Price (PHP)]]</f>
        <v>4.3500000000000014</v>
      </c>
      <c r="G207" s="4">
        <v>1</v>
      </c>
      <c r="H207" s="4">
        <f>Sales_data[[#This Row],[Quantity]]*Sales_data[[#This Row],[Base Price (PHP)]]</f>
        <v>35.65</v>
      </c>
      <c r="I207" s="4">
        <f>Sales_data[[#This Row],[Selling Price (PHP)]]*Sales_data[[#This Row],[Quantity]]</f>
        <v>40</v>
      </c>
      <c r="J207" s="4">
        <f>Sales_data[[#This Row],[Revenue]]*Sales_data[[#This Row],[Quantity]]</f>
        <v>4.3500000000000014</v>
      </c>
      <c r="K207" s="4" t="s">
        <v>279</v>
      </c>
    </row>
    <row r="208" spans="1:11" x14ac:dyDescent="0.25">
      <c r="A208" s="3">
        <v>45073</v>
      </c>
      <c r="B208" s="1" t="s">
        <v>48</v>
      </c>
      <c r="C208" s="1" t="s">
        <v>199</v>
      </c>
      <c r="D208" s="4">
        <v>35.65</v>
      </c>
      <c r="E208" s="4">
        <v>40</v>
      </c>
      <c r="F208" s="4">
        <f>Sales_data[[#This Row],[Selling Price (PHP)]]-Sales_data[[#This Row],[Base Price (PHP)]]</f>
        <v>4.3500000000000014</v>
      </c>
      <c r="G208" s="4">
        <v>1</v>
      </c>
      <c r="H208" s="4">
        <f>Sales_data[[#This Row],[Quantity]]*Sales_data[[#This Row],[Base Price (PHP)]]</f>
        <v>35.65</v>
      </c>
      <c r="I208" s="4">
        <f>Sales_data[[#This Row],[Selling Price (PHP)]]*Sales_data[[#This Row],[Quantity]]</f>
        <v>40</v>
      </c>
      <c r="J208" s="4">
        <f>Sales_data[[#This Row],[Revenue]]*Sales_data[[#This Row],[Quantity]]</f>
        <v>4.3500000000000014</v>
      </c>
      <c r="K208" s="4" t="s">
        <v>280</v>
      </c>
    </row>
    <row r="209" spans="1:11" x14ac:dyDescent="0.25">
      <c r="A209" s="3">
        <v>45073</v>
      </c>
      <c r="B209" s="1" t="s">
        <v>14</v>
      </c>
      <c r="C209" s="1" t="s">
        <v>164</v>
      </c>
      <c r="D209" s="4">
        <v>15.65</v>
      </c>
      <c r="E209" s="4">
        <v>22</v>
      </c>
      <c r="F209" s="4">
        <f>Sales_data[[#This Row],[Selling Price (PHP)]]-Sales_data[[#This Row],[Base Price (PHP)]]</f>
        <v>6.35</v>
      </c>
      <c r="G209" s="4">
        <v>10</v>
      </c>
      <c r="H209" s="4">
        <f>Sales_data[[#This Row],[Quantity]]*Sales_data[[#This Row],[Base Price (PHP)]]</f>
        <v>156.5</v>
      </c>
      <c r="I209" s="4">
        <f>Sales_data[[#This Row],[Selling Price (PHP)]]*Sales_data[[#This Row],[Quantity]]</f>
        <v>220</v>
      </c>
      <c r="J209" s="4">
        <f>Sales_data[[#This Row],[Revenue]]*Sales_data[[#This Row],[Quantity]]</f>
        <v>63.5</v>
      </c>
      <c r="K209" s="4" t="s">
        <v>281</v>
      </c>
    </row>
    <row r="210" spans="1:11" x14ac:dyDescent="0.25">
      <c r="A210" s="3">
        <v>45073</v>
      </c>
      <c r="B210" s="1" t="s">
        <v>14</v>
      </c>
      <c r="C210" s="1" t="s">
        <v>164</v>
      </c>
      <c r="D210" s="4">
        <v>15.65</v>
      </c>
      <c r="E210" s="4">
        <v>22</v>
      </c>
      <c r="F210" s="4">
        <f>Sales_data[[#This Row],[Selling Price (PHP)]]-Sales_data[[#This Row],[Base Price (PHP)]]</f>
        <v>6.35</v>
      </c>
      <c r="G210" s="4">
        <v>8</v>
      </c>
      <c r="H210" s="4">
        <f>Sales_data[[#This Row],[Quantity]]*Sales_data[[#This Row],[Base Price (PHP)]]</f>
        <v>125.2</v>
      </c>
      <c r="I210" s="4">
        <f>Sales_data[[#This Row],[Selling Price (PHP)]]*Sales_data[[#This Row],[Quantity]]</f>
        <v>176</v>
      </c>
      <c r="J210" s="4">
        <f>Sales_data[[#This Row],[Revenue]]*Sales_data[[#This Row],[Quantity]]</f>
        <v>50.8</v>
      </c>
      <c r="K210" s="4" t="s">
        <v>282</v>
      </c>
    </row>
    <row r="211" spans="1:11" x14ac:dyDescent="0.25">
      <c r="A211" s="3">
        <v>45073</v>
      </c>
      <c r="B211" s="1" t="s">
        <v>45</v>
      </c>
      <c r="C211" s="1" t="s">
        <v>283</v>
      </c>
      <c r="D211" s="4">
        <v>22.5</v>
      </c>
      <c r="E211" s="4">
        <v>28</v>
      </c>
      <c r="F211" s="4">
        <f>Sales_data[[#This Row],[Selling Price (PHP)]]-Sales_data[[#This Row],[Base Price (PHP)]]</f>
        <v>5.5</v>
      </c>
      <c r="G211" s="4">
        <v>6</v>
      </c>
      <c r="H211" s="4">
        <f>Sales_data[[#This Row],[Quantity]]*Sales_data[[#This Row],[Base Price (PHP)]]</f>
        <v>135</v>
      </c>
      <c r="I211" s="4">
        <f>Sales_data[[#This Row],[Selling Price (PHP)]]*Sales_data[[#This Row],[Quantity]]</f>
        <v>168</v>
      </c>
      <c r="J211" s="4">
        <f>Sales_data[[#This Row],[Revenue]]*Sales_data[[#This Row],[Quantity]]</f>
        <v>33</v>
      </c>
      <c r="K211" s="4" t="s">
        <v>284</v>
      </c>
    </row>
    <row r="212" spans="1:11" x14ac:dyDescent="0.25">
      <c r="A212" s="3">
        <v>45073</v>
      </c>
      <c r="B212" s="1" t="s">
        <v>7</v>
      </c>
      <c r="C212" s="1" t="s">
        <v>133</v>
      </c>
      <c r="D212" s="4">
        <v>10.25</v>
      </c>
      <c r="E212" s="4">
        <v>15</v>
      </c>
      <c r="F212" s="4">
        <f>Sales_data[[#This Row],[Selling Price (PHP)]]-Sales_data[[#This Row],[Base Price (PHP)]]</f>
        <v>4.75</v>
      </c>
      <c r="G212" s="4">
        <v>2</v>
      </c>
      <c r="H212" s="4">
        <f>Sales_data[[#This Row],[Quantity]]*Sales_data[[#This Row],[Base Price (PHP)]]</f>
        <v>20.5</v>
      </c>
      <c r="I212" s="4">
        <f>Sales_data[[#This Row],[Selling Price (PHP)]]*Sales_data[[#This Row],[Quantity]]</f>
        <v>30</v>
      </c>
      <c r="J212" s="4">
        <f>Sales_data[[#This Row],[Revenue]]*Sales_data[[#This Row],[Quantity]]</f>
        <v>9.5</v>
      </c>
      <c r="K212" s="4" t="s">
        <v>285</v>
      </c>
    </row>
    <row r="213" spans="1:11" x14ac:dyDescent="0.25">
      <c r="A213" s="3">
        <v>45073</v>
      </c>
      <c r="B213" s="1" t="s">
        <v>7</v>
      </c>
      <c r="C213" s="1" t="s">
        <v>133</v>
      </c>
      <c r="D213" s="4">
        <v>10.25</v>
      </c>
      <c r="E213" s="4">
        <v>15</v>
      </c>
      <c r="F213" s="4">
        <f>Sales_data[[#This Row],[Selling Price (PHP)]]-Sales_data[[#This Row],[Base Price (PHP)]]</f>
        <v>4.75</v>
      </c>
      <c r="G213" s="4">
        <v>7</v>
      </c>
      <c r="H213" s="4">
        <f>Sales_data[[#This Row],[Quantity]]*Sales_data[[#This Row],[Base Price (PHP)]]</f>
        <v>71.75</v>
      </c>
      <c r="I213" s="4">
        <f>Sales_data[[#This Row],[Selling Price (PHP)]]*Sales_data[[#This Row],[Quantity]]</f>
        <v>105</v>
      </c>
      <c r="J213" s="4">
        <f>Sales_data[[#This Row],[Revenue]]*Sales_data[[#This Row],[Quantity]]</f>
        <v>33.25</v>
      </c>
      <c r="K213" s="4" t="s">
        <v>286</v>
      </c>
    </row>
    <row r="214" spans="1:11" x14ac:dyDescent="0.25">
      <c r="A214" s="3">
        <v>45074</v>
      </c>
      <c r="B214" s="1" t="s">
        <v>21</v>
      </c>
      <c r="C214" s="1" t="s">
        <v>112</v>
      </c>
      <c r="D214" s="4">
        <v>12.5</v>
      </c>
      <c r="E214" s="4">
        <v>16</v>
      </c>
      <c r="F214" s="4">
        <f>Sales_data[[#This Row],[Selling Price (PHP)]]-Sales_data[[#This Row],[Base Price (PHP)]]</f>
        <v>3.5</v>
      </c>
      <c r="G214" s="4">
        <v>1</v>
      </c>
      <c r="H214" s="4">
        <f>Sales_data[[#This Row],[Quantity]]*Sales_data[[#This Row],[Base Price (PHP)]]</f>
        <v>12.5</v>
      </c>
      <c r="I214" s="4">
        <f>Sales_data[[#This Row],[Selling Price (PHP)]]*Sales_data[[#This Row],[Quantity]]</f>
        <v>16</v>
      </c>
      <c r="J214" s="4">
        <f>Sales_data[[#This Row],[Revenue]]*Sales_data[[#This Row],[Quantity]]</f>
        <v>3.5</v>
      </c>
      <c r="K214" s="4" t="s">
        <v>287</v>
      </c>
    </row>
    <row r="215" spans="1:11" x14ac:dyDescent="0.25">
      <c r="A215" s="3">
        <v>45074</v>
      </c>
      <c r="B215" s="1" t="s">
        <v>10</v>
      </c>
      <c r="C215" s="1" t="s">
        <v>43</v>
      </c>
      <c r="D215" s="4">
        <v>43.5</v>
      </c>
      <c r="E215" s="4">
        <v>55</v>
      </c>
      <c r="F215" s="4">
        <f>Sales_data[[#This Row],[Selling Price (PHP)]]-Sales_data[[#This Row],[Base Price (PHP)]]</f>
        <v>11.5</v>
      </c>
      <c r="G215" s="4">
        <v>7</v>
      </c>
      <c r="H215" s="4">
        <f>Sales_data[[#This Row],[Quantity]]*Sales_data[[#This Row],[Base Price (PHP)]]</f>
        <v>304.5</v>
      </c>
      <c r="I215" s="4">
        <f>Sales_data[[#This Row],[Selling Price (PHP)]]*Sales_data[[#This Row],[Quantity]]</f>
        <v>385</v>
      </c>
      <c r="J215" s="4">
        <f>Sales_data[[#This Row],[Revenue]]*Sales_data[[#This Row],[Quantity]]</f>
        <v>80.5</v>
      </c>
      <c r="K215" s="4" t="s">
        <v>288</v>
      </c>
    </row>
    <row r="216" spans="1:11" x14ac:dyDescent="0.25">
      <c r="A216" s="3">
        <v>45075</v>
      </c>
      <c r="B216" s="1" t="s">
        <v>30</v>
      </c>
      <c r="C216" s="1" t="s">
        <v>105</v>
      </c>
      <c r="D216" s="4">
        <v>19.829999999999998</v>
      </c>
      <c r="E216" s="4">
        <v>24</v>
      </c>
      <c r="F216" s="4">
        <f>Sales_data[[#This Row],[Selling Price (PHP)]]-Sales_data[[#This Row],[Base Price (PHP)]]</f>
        <v>4.1700000000000017</v>
      </c>
      <c r="G216" s="4">
        <v>5</v>
      </c>
      <c r="H216" s="4">
        <f>Sales_data[[#This Row],[Quantity]]*Sales_data[[#This Row],[Base Price (PHP)]]</f>
        <v>99.149999999999991</v>
      </c>
      <c r="I216" s="4">
        <f>Sales_data[[#This Row],[Selling Price (PHP)]]*Sales_data[[#This Row],[Quantity]]</f>
        <v>120</v>
      </c>
      <c r="J216" s="4">
        <f>Sales_data[[#This Row],[Revenue]]*Sales_data[[#This Row],[Quantity]]</f>
        <v>20.850000000000009</v>
      </c>
      <c r="K216" s="4" t="s">
        <v>289</v>
      </c>
    </row>
    <row r="217" spans="1:11" x14ac:dyDescent="0.25">
      <c r="A217" s="3">
        <v>45075</v>
      </c>
      <c r="B217" s="1" t="s">
        <v>14</v>
      </c>
      <c r="C217" s="1" t="s">
        <v>192</v>
      </c>
      <c r="D217" s="4">
        <v>12.5</v>
      </c>
      <c r="E217" s="4">
        <v>18</v>
      </c>
      <c r="F217" s="4">
        <f>Sales_data[[#This Row],[Selling Price (PHP)]]-Sales_data[[#This Row],[Base Price (PHP)]]</f>
        <v>5.5</v>
      </c>
      <c r="G217" s="4">
        <v>2</v>
      </c>
      <c r="H217" s="4">
        <f>Sales_data[[#This Row],[Quantity]]*Sales_data[[#This Row],[Base Price (PHP)]]</f>
        <v>25</v>
      </c>
      <c r="I217" s="4">
        <f>Sales_data[[#This Row],[Selling Price (PHP)]]*Sales_data[[#This Row],[Quantity]]</f>
        <v>36</v>
      </c>
      <c r="J217" s="4">
        <f>Sales_data[[#This Row],[Revenue]]*Sales_data[[#This Row],[Quantity]]</f>
        <v>11</v>
      </c>
      <c r="K217" s="4" t="s">
        <v>290</v>
      </c>
    </row>
    <row r="218" spans="1:11" x14ac:dyDescent="0.25">
      <c r="A218" s="3">
        <v>45075</v>
      </c>
      <c r="B218" s="1" t="s">
        <v>14</v>
      </c>
      <c r="C218" s="1" t="s">
        <v>192</v>
      </c>
      <c r="D218" s="4">
        <v>12.5</v>
      </c>
      <c r="E218" s="4">
        <v>18</v>
      </c>
      <c r="F218" s="4">
        <f>Sales_data[[#This Row],[Selling Price (PHP)]]-Sales_data[[#This Row],[Base Price (PHP)]]</f>
        <v>5.5</v>
      </c>
      <c r="G218" s="4">
        <v>5</v>
      </c>
      <c r="H218" s="4">
        <f>Sales_data[[#This Row],[Quantity]]*Sales_data[[#This Row],[Base Price (PHP)]]</f>
        <v>62.5</v>
      </c>
      <c r="I218" s="4">
        <f>Sales_data[[#This Row],[Selling Price (PHP)]]*Sales_data[[#This Row],[Quantity]]</f>
        <v>90</v>
      </c>
      <c r="J218" s="4">
        <f>Sales_data[[#This Row],[Revenue]]*Sales_data[[#This Row],[Quantity]]</f>
        <v>27.5</v>
      </c>
      <c r="K218" s="4" t="s">
        <v>291</v>
      </c>
    </row>
    <row r="219" spans="1:11" x14ac:dyDescent="0.25">
      <c r="A219" s="3">
        <v>45075</v>
      </c>
      <c r="B219" s="1" t="s">
        <v>21</v>
      </c>
      <c r="C219" s="1" t="s">
        <v>173</v>
      </c>
      <c r="D219" s="4">
        <v>13.5</v>
      </c>
      <c r="E219" s="4">
        <v>18</v>
      </c>
      <c r="F219" s="4">
        <f>Sales_data[[#This Row],[Selling Price (PHP)]]-Sales_data[[#This Row],[Base Price (PHP)]]</f>
        <v>4.5</v>
      </c>
      <c r="G219" s="4">
        <v>2</v>
      </c>
      <c r="H219" s="4">
        <f>Sales_data[[#This Row],[Quantity]]*Sales_data[[#This Row],[Base Price (PHP)]]</f>
        <v>27</v>
      </c>
      <c r="I219" s="4">
        <f>Sales_data[[#This Row],[Selling Price (PHP)]]*Sales_data[[#This Row],[Quantity]]</f>
        <v>36</v>
      </c>
      <c r="J219" s="4">
        <f>Sales_data[[#This Row],[Revenue]]*Sales_data[[#This Row],[Quantity]]</f>
        <v>9</v>
      </c>
      <c r="K219" s="4" t="s">
        <v>292</v>
      </c>
    </row>
    <row r="220" spans="1:11" x14ac:dyDescent="0.25">
      <c r="A220" s="3">
        <v>45075</v>
      </c>
      <c r="B220" s="1" t="s">
        <v>10</v>
      </c>
      <c r="C220" s="1" t="s">
        <v>11</v>
      </c>
      <c r="D220" s="4">
        <v>23.45</v>
      </c>
      <c r="E220" s="4">
        <v>29</v>
      </c>
      <c r="F220" s="4">
        <f>Sales_data[[#This Row],[Selling Price (PHP)]]-Sales_data[[#This Row],[Base Price (PHP)]]</f>
        <v>5.5500000000000007</v>
      </c>
      <c r="G220" s="4">
        <v>2</v>
      </c>
      <c r="H220" s="4">
        <f>Sales_data[[#This Row],[Quantity]]*Sales_data[[#This Row],[Base Price (PHP)]]</f>
        <v>46.9</v>
      </c>
      <c r="I220" s="4">
        <f>Sales_data[[#This Row],[Selling Price (PHP)]]*Sales_data[[#This Row],[Quantity]]</f>
        <v>58</v>
      </c>
      <c r="J220" s="4">
        <f>Sales_data[[#This Row],[Revenue]]*Sales_data[[#This Row],[Quantity]]</f>
        <v>11.100000000000001</v>
      </c>
      <c r="K220" s="4" t="s">
        <v>293</v>
      </c>
    </row>
    <row r="221" spans="1:11" x14ac:dyDescent="0.25">
      <c r="A221" s="3">
        <v>45075</v>
      </c>
      <c r="B221" s="1" t="s">
        <v>7</v>
      </c>
      <c r="C221" s="1" t="s">
        <v>39</v>
      </c>
      <c r="D221" s="4">
        <v>7.83</v>
      </c>
      <c r="E221" s="4">
        <v>12</v>
      </c>
      <c r="F221" s="4">
        <f>Sales_data[[#This Row],[Selling Price (PHP)]]-Sales_data[[#This Row],[Base Price (PHP)]]</f>
        <v>4.17</v>
      </c>
      <c r="G221" s="4">
        <v>3</v>
      </c>
      <c r="H221" s="4">
        <f>Sales_data[[#This Row],[Quantity]]*Sales_data[[#This Row],[Base Price (PHP)]]</f>
        <v>23.490000000000002</v>
      </c>
      <c r="I221" s="4">
        <f>Sales_data[[#This Row],[Selling Price (PHP)]]*Sales_data[[#This Row],[Quantity]]</f>
        <v>36</v>
      </c>
      <c r="J221" s="4">
        <f>Sales_data[[#This Row],[Revenue]]*Sales_data[[#This Row],[Quantity]]</f>
        <v>12.51</v>
      </c>
      <c r="K221" s="4" t="s">
        <v>294</v>
      </c>
    </row>
    <row r="222" spans="1:11" x14ac:dyDescent="0.25">
      <c r="A222" s="3">
        <v>45075</v>
      </c>
      <c r="B222" s="1" t="s">
        <v>7</v>
      </c>
      <c r="C222" s="1" t="s">
        <v>133</v>
      </c>
      <c r="D222" s="4">
        <v>10.25</v>
      </c>
      <c r="E222" s="4">
        <v>15</v>
      </c>
      <c r="F222" s="4">
        <f>Sales_data[[#This Row],[Selling Price (PHP)]]-Sales_data[[#This Row],[Base Price (PHP)]]</f>
        <v>4.75</v>
      </c>
      <c r="G222" s="4">
        <v>1</v>
      </c>
      <c r="H222" s="4">
        <f>Sales_data[[#This Row],[Quantity]]*Sales_data[[#This Row],[Base Price (PHP)]]</f>
        <v>10.25</v>
      </c>
      <c r="I222" s="4">
        <f>Sales_data[[#This Row],[Selling Price (PHP)]]*Sales_data[[#This Row],[Quantity]]</f>
        <v>15</v>
      </c>
      <c r="J222" s="4">
        <f>Sales_data[[#This Row],[Revenue]]*Sales_data[[#This Row],[Quantity]]</f>
        <v>4.75</v>
      </c>
      <c r="K222" s="4" t="s">
        <v>295</v>
      </c>
    </row>
    <row r="223" spans="1:11" x14ac:dyDescent="0.25">
      <c r="A223" s="3">
        <v>45075</v>
      </c>
      <c r="B223" s="1" t="s">
        <v>7</v>
      </c>
      <c r="C223" s="1" t="s">
        <v>141</v>
      </c>
      <c r="D223" s="4">
        <v>12.29</v>
      </c>
      <c r="E223" s="4">
        <v>17</v>
      </c>
      <c r="F223" s="4">
        <f>Sales_data[[#This Row],[Selling Price (PHP)]]-Sales_data[[#This Row],[Base Price (PHP)]]</f>
        <v>4.7100000000000009</v>
      </c>
      <c r="G223" s="4">
        <v>3</v>
      </c>
      <c r="H223" s="4">
        <f>Sales_data[[#This Row],[Quantity]]*Sales_data[[#This Row],[Base Price (PHP)]]</f>
        <v>36.869999999999997</v>
      </c>
      <c r="I223" s="4">
        <f>Sales_data[[#This Row],[Selling Price (PHP)]]*Sales_data[[#This Row],[Quantity]]</f>
        <v>51</v>
      </c>
      <c r="J223" s="4">
        <f>Sales_data[[#This Row],[Revenue]]*Sales_data[[#This Row],[Quantity]]</f>
        <v>14.130000000000003</v>
      </c>
      <c r="K223" s="4" t="s">
        <v>296</v>
      </c>
    </row>
    <row r="224" spans="1:11" x14ac:dyDescent="0.25">
      <c r="A224" s="3">
        <v>45076</v>
      </c>
      <c r="B224" s="1" t="s">
        <v>10</v>
      </c>
      <c r="C224" s="1" t="s">
        <v>66</v>
      </c>
      <c r="D224" s="4">
        <v>32.75</v>
      </c>
      <c r="E224" s="4">
        <v>40</v>
      </c>
      <c r="F224" s="4">
        <f>Sales_data[[#This Row],[Selling Price (PHP)]]-Sales_data[[#This Row],[Base Price (PHP)]]</f>
        <v>7.25</v>
      </c>
      <c r="G224" s="4">
        <v>5</v>
      </c>
      <c r="H224" s="4">
        <f>Sales_data[[#This Row],[Quantity]]*Sales_data[[#This Row],[Base Price (PHP)]]</f>
        <v>163.75</v>
      </c>
      <c r="I224" s="4">
        <f>Sales_data[[#This Row],[Selling Price (PHP)]]*Sales_data[[#This Row],[Quantity]]</f>
        <v>200</v>
      </c>
      <c r="J224" s="4">
        <f>Sales_data[[#This Row],[Revenue]]*Sales_data[[#This Row],[Quantity]]</f>
        <v>36.25</v>
      </c>
      <c r="K224" s="4" t="s">
        <v>297</v>
      </c>
    </row>
    <row r="225" spans="1:11" x14ac:dyDescent="0.25">
      <c r="A225" s="3">
        <v>45077</v>
      </c>
      <c r="B225" s="1" t="s">
        <v>18</v>
      </c>
      <c r="C225" s="1" t="s">
        <v>33</v>
      </c>
      <c r="D225" s="4">
        <v>16.170000000000002</v>
      </c>
      <c r="E225" s="4">
        <v>20</v>
      </c>
      <c r="F225" s="4">
        <f>Sales_data[[#This Row],[Selling Price (PHP)]]-Sales_data[[#This Row],[Base Price (PHP)]]</f>
        <v>3.8299999999999983</v>
      </c>
      <c r="G225" s="4">
        <v>9</v>
      </c>
      <c r="H225" s="4">
        <f>Sales_data[[#This Row],[Quantity]]*Sales_data[[#This Row],[Base Price (PHP)]]</f>
        <v>145.53000000000003</v>
      </c>
      <c r="I225" s="4">
        <f>Sales_data[[#This Row],[Selling Price (PHP)]]*Sales_data[[#This Row],[Quantity]]</f>
        <v>180</v>
      </c>
      <c r="J225" s="4">
        <f>Sales_data[[#This Row],[Revenue]]*Sales_data[[#This Row],[Quantity]]</f>
        <v>34.469999999999985</v>
      </c>
      <c r="K225" s="4" t="s">
        <v>298</v>
      </c>
    </row>
    <row r="226" spans="1:11" x14ac:dyDescent="0.25">
      <c r="A226" s="3">
        <v>45077</v>
      </c>
      <c r="B226" s="1" t="s">
        <v>71</v>
      </c>
      <c r="C226" s="1" t="s">
        <v>72</v>
      </c>
      <c r="D226" s="4">
        <v>22</v>
      </c>
      <c r="E226" s="4">
        <v>27</v>
      </c>
      <c r="F226" s="4">
        <f>Sales_data[[#This Row],[Selling Price (PHP)]]-Sales_data[[#This Row],[Base Price (PHP)]]</f>
        <v>5</v>
      </c>
      <c r="G226" s="4">
        <v>6</v>
      </c>
      <c r="H226" s="4">
        <f>Sales_data[[#This Row],[Quantity]]*Sales_data[[#This Row],[Base Price (PHP)]]</f>
        <v>132</v>
      </c>
      <c r="I226" s="4">
        <f>Sales_data[[#This Row],[Selling Price (PHP)]]*Sales_data[[#This Row],[Quantity]]</f>
        <v>162</v>
      </c>
      <c r="J226" s="4">
        <f>Sales_data[[#This Row],[Revenue]]*Sales_data[[#This Row],[Quantity]]</f>
        <v>30</v>
      </c>
      <c r="K226" s="4" t="s">
        <v>299</v>
      </c>
    </row>
    <row r="227" spans="1:11" x14ac:dyDescent="0.25">
      <c r="A227" s="3">
        <v>45077</v>
      </c>
      <c r="B227" s="1" t="s">
        <v>45</v>
      </c>
      <c r="C227" s="1" t="s">
        <v>300</v>
      </c>
      <c r="D227" s="4">
        <v>10.5</v>
      </c>
      <c r="E227" s="4">
        <v>15</v>
      </c>
      <c r="F227" s="4">
        <f>Sales_data[[#This Row],[Selling Price (PHP)]]-Sales_data[[#This Row],[Base Price (PHP)]]</f>
        <v>4.5</v>
      </c>
      <c r="G227" s="4">
        <v>9</v>
      </c>
      <c r="H227" s="4">
        <f>Sales_data[[#This Row],[Quantity]]*Sales_data[[#This Row],[Base Price (PHP)]]</f>
        <v>94.5</v>
      </c>
      <c r="I227" s="4">
        <f>Sales_data[[#This Row],[Selling Price (PHP)]]*Sales_data[[#This Row],[Quantity]]</f>
        <v>135</v>
      </c>
      <c r="J227" s="4">
        <f>Sales_data[[#This Row],[Revenue]]*Sales_data[[#This Row],[Quantity]]</f>
        <v>40.5</v>
      </c>
      <c r="K227" s="4" t="s">
        <v>301</v>
      </c>
    </row>
    <row r="228" spans="1:11" x14ac:dyDescent="0.25">
      <c r="A228" s="3">
        <v>45078</v>
      </c>
      <c r="B228" s="1" t="s">
        <v>10</v>
      </c>
      <c r="C228" s="1" t="s">
        <v>66</v>
      </c>
      <c r="D228" s="4">
        <v>32.75</v>
      </c>
      <c r="E228" s="4">
        <v>40</v>
      </c>
      <c r="F228" s="4">
        <f>Sales_data[[#This Row],[Selling Price (PHP)]]-Sales_data[[#This Row],[Base Price (PHP)]]</f>
        <v>7.25</v>
      </c>
      <c r="G228" s="4">
        <v>1</v>
      </c>
      <c r="H228" s="4">
        <f>Sales_data[[#This Row],[Quantity]]*Sales_data[[#This Row],[Base Price (PHP)]]</f>
        <v>32.75</v>
      </c>
      <c r="I228" s="4">
        <f>Sales_data[[#This Row],[Selling Price (PHP)]]*Sales_data[[#This Row],[Quantity]]</f>
        <v>40</v>
      </c>
      <c r="J228" s="4">
        <f>Sales_data[[#This Row],[Revenue]]*Sales_data[[#This Row],[Quantity]]</f>
        <v>7.25</v>
      </c>
      <c r="K228" s="4" t="s">
        <v>302</v>
      </c>
    </row>
    <row r="229" spans="1:11" x14ac:dyDescent="0.25">
      <c r="A229" s="3">
        <v>45079</v>
      </c>
      <c r="B229" s="1" t="s">
        <v>48</v>
      </c>
      <c r="C229" s="1" t="s">
        <v>150</v>
      </c>
      <c r="D229" s="4">
        <v>39</v>
      </c>
      <c r="E229" s="4">
        <v>45</v>
      </c>
      <c r="F229" s="4">
        <f>Sales_data[[#This Row],[Selling Price (PHP)]]-Sales_data[[#This Row],[Base Price (PHP)]]</f>
        <v>6</v>
      </c>
      <c r="G229" s="4">
        <v>8</v>
      </c>
      <c r="H229" s="4">
        <f>Sales_data[[#This Row],[Quantity]]*Sales_data[[#This Row],[Base Price (PHP)]]</f>
        <v>312</v>
      </c>
      <c r="I229" s="4">
        <f>Sales_data[[#This Row],[Selling Price (PHP)]]*Sales_data[[#This Row],[Quantity]]</f>
        <v>360</v>
      </c>
      <c r="J229" s="4">
        <f>Sales_data[[#This Row],[Revenue]]*Sales_data[[#This Row],[Quantity]]</f>
        <v>48</v>
      </c>
      <c r="K229" s="4" t="s">
        <v>303</v>
      </c>
    </row>
    <row r="230" spans="1:11" x14ac:dyDescent="0.25">
      <c r="A230" s="3">
        <v>45079</v>
      </c>
      <c r="B230" s="1" t="s">
        <v>21</v>
      </c>
      <c r="C230" s="1" t="s">
        <v>112</v>
      </c>
      <c r="D230" s="4">
        <v>12.5</v>
      </c>
      <c r="E230" s="4">
        <v>16</v>
      </c>
      <c r="F230" s="4">
        <f>Sales_data[[#This Row],[Selling Price (PHP)]]-Sales_data[[#This Row],[Base Price (PHP)]]</f>
        <v>3.5</v>
      </c>
      <c r="G230" s="4">
        <v>5</v>
      </c>
      <c r="H230" s="4">
        <f>Sales_data[[#This Row],[Quantity]]*Sales_data[[#This Row],[Base Price (PHP)]]</f>
        <v>62.5</v>
      </c>
      <c r="I230" s="4">
        <f>Sales_data[[#This Row],[Selling Price (PHP)]]*Sales_data[[#This Row],[Quantity]]</f>
        <v>80</v>
      </c>
      <c r="J230" s="4">
        <f>Sales_data[[#This Row],[Revenue]]*Sales_data[[#This Row],[Quantity]]</f>
        <v>17.5</v>
      </c>
      <c r="K230" s="4" t="s">
        <v>304</v>
      </c>
    </row>
    <row r="231" spans="1:11" x14ac:dyDescent="0.25">
      <c r="A231" s="3">
        <v>45080</v>
      </c>
      <c r="B231" s="1" t="s">
        <v>30</v>
      </c>
      <c r="C231" s="1" t="s">
        <v>119</v>
      </c>
      <c r="D231" s="4">
        <v>14</v>
      </c>
      <c r="E231" s="4">
        <v>19</v>
      </c>
      <c r="F231" s="4">
        <f>Sales_data[[#This Row],[Selling Price (PHP)]]-Sales_data[[#This Row],[Base Price (PHP)]]</f>
        <v>5</v>
      </c>
      <c r="G231" s="4">
        <v>8</v>
      </c>
      <c r="H231" s="4">
        <f>Sales_data[[#This Row],[Quantity]]*Sales_data[[#This Row],[Base Price (PHP)]]</f>
        <v>112</v>
      </c>
      <c r="I231" s="4">
        <f>Sales_data[[#This Row],[Selling Price (PHP)]]*Sales_data[[#This Row],[Quantity]]</f>
        <v>152</v>
      </c>
      <c r="J231" s="4">
        <f>Sales_data[[#This Row],[Revenue]]*Sales_data[[#This Row],[Quantity]]</f>
        <v>40</v>
      </c>
      <c r="K231" s="4" t="s">
        <v>305</v>
      </c>
    </row>
    <row r="232" spans="1:11" x14ac:dyDescent="0.25">
      <c r="A232" s="3">
        <v>45080</v>
      </c>
      <c r="B232" s="1" t="s">
        <v>91</v>
      </c>
      <c r="C232" s="1" t="s">
        <v>92</v>
      </c>
      <c r="D232" s="4">
        <v>15.5</v>
      </c>
      <c r="E232" s="4">
        <v>20</v>
      </c>
      <c r="F232" s="4">
        <f>Sales_data[[#This Row],[Selling Price (PHP)]]-Sales_data[[#This Row],[Base Price (PHP)]]</f>
        <v>4.5</v>
      </c>
      <c r="G232" s="4">
        <v>8</v>
      </c>
      <c r="H232" s="4">
        <f>Sales_data[[#This Row],[Quantity]]*Sales_data[[#This Row],[Base Price (PHP)]]</f>
        <v>124</v>
      </c>
      <c r="I232" s="4">
        <f>Sales_data[[#This Row],[Selling Price (PHP)]]*Sales_data[[#This Row],[Quantity]]</f>
        <v>160</v>
      </c>
      <c r="J232" s="4">
        <f>Sales_data[[#This Row],[Revenue]]*Sales_data[[#This Row],[Quantity]]</f>
        <v>36</v>
      </c>
      <c r="K232" s="4" t="s">
        <v>306</v>
      </c>
    </row>
    <row r="233" spans="1:11" x14ac:dyDescent="0.25">
      <c r="A233" s="3">
        <v>45080</v>
      </c>
      <c r="B233" s="1" t="s">
        <v>7</v>
      </c>
      <c r="C233" s="1" t="s">
        <v>8</v>
      </c>
      <c r="D233" s="4">
        <v>8.17</v>
      </c>
      <c r="E233" s="4">
        <v>13</v>
      </c>
      <c r="F233" s="4">
        <f>Sales_data[[#This Row],[Selling Price (PHP)]]-Sales_data[[#This Row],[Base Price (PHP)]]</f>
        <v>4.83</v>
      </c>
      <c r="G233" s="4">
        <v>9</v>
      </c>
      <c r="H233" s="4">
        <f>Sales_data[[#This Row],[Quantity]]*Sales_data[[#This Row],[Base Price (PHP)]]</f>
        <v>73.53</v>
      </c>
      <c r="I233" s="4">
        <f>Sales_data[[#This Row],[Selling Price (PHP)]]*Sales_data[[#This Row],[Quantity]]</f>
        <v>117</v>
      </c>
      <c r="J233" s="4">
        <f>Sales_data[[#This Row],[Revenue]]*Sales_data[[#This Row],[Quantity]]</f>
        <v>43.47</v>
      </c>
      <c r="K233" s="4" t="s">
        <v>307</v>
      </c>
    </row>
    <row r="234" spans="1:11" x14ac:dyDescent="0.25">
      <c r="A234" s="3">
        <v>45081</v>
      </c>
      <c r="B234" s="1" t="s">
        <v>7</v>
      </c>
      <c r="C234" s="1" t="s">
        <v>131</v>
      </c>
      <c r="D234" s="4">
        <v>8.75</v>
      </c>
      <c r="E234" s="4">
        <v>14</v>
      </c>
      <c r="F234" s="4">
        <f>Sales_data[[#This Row],[Selling Price (PHP)]]-Sales_data[[#This Row],[Base Price (PHP)]]</f>
        <v>5.25</v>
      </c>
      <c r="G234" s="4">
        <v>2</v>
      </c>
      <c r="H234" s="4">
        <f>Sales_data[[#This Row],[Quantity]]*Sales_data[[#This Row],[Base Price (PHP)]]</f>
        <v>17.5</v>
      </c>
      <c r="I234" s="4">
        <f>Sales_data[[#This Row],[Selling Price (PHP)]]*Sales_data[[#This Row],[Quantity]]</f>
        <v>28</v>
      </c>
      <c r="J234" s="4">
        <f>Sales_data[[#This Row],[Revenue]]*Sales_data[[#This Row],[Quantity]]</f>
        <v>10.5</v>
      </c>
      <c r="K234" s="4" t="s">
        <v>308</v>
      </c>
    </row>
    <row r="235" spans="1:11" x14ac:dyDescent="0.25">
      <c r="A235" s="3">
        <v>45081</v>
      </c>
      <c r="B235" s="1" t="s">
        <v>7</v>
      </c>
      <c r="C235" s="1" t="s">
        <v>141</v>
      </c>
      <c r="D235" s="4">
        <v>12.29</v>
      </c>
      <c r="E235" s="4">
        <v>17</v>
      </c>
      <c r="F235" s="4">
        <f>Sales_data[[#This Row],[Selling Price (PHP)]]-Sales_data[[#This Row],[Base Price (PHP)]]</f>
        <v>4.7100000000000009</v>
      </c>
      <c r="G235" s="4">
        <v>1</v>
      </c>
      <c r="H235" s="4">
        <f>Sales_data[[#This Row],[Quantity]]*Sales_data[[#This Row],[Base Price (PHP)]]</f>
        <v>12.29</v>
      </c>
      <c r="I235" s="4">
        <f>Sales_data[[#This Row],[Selling Price (PHP)]]*Sales_data[[#This Row],[Quantity]]</f>
        <v>17</v>
      </c>
      <c r="J235" s="4">
        <f>Sales_data[[#This Row],[Revenue]]*Sales_data[[#This Row],[Quantity]]</f>
        <v>4.7100000000000009</v>
      </c>
      <c r="K235" s="4" t="s">
        <v>309</v>
      </c>
    </row>
    <row r="236" spans="1:11" x14ac:dyDescent="0.25">
      <c r="A236" s="3">
        <v>45081</v>
      </c>
      <c r="B236" s="1" t="s">
        <v>7</v>
      </c>
      <c r="C236" s="1" t="s">
        <v>52</v>
      </c>
      <c r="D236" s="4">
        <v>14.5</v>
      </c>
      <c r="E236" s="4">
        <v>19</v>
      </c>
      <c r="F236" s="4">
        <f>Sales_data[[#This Row],[Selling Price (PHP)]]-Sales_data[[#This Row],[Base Price (PHP)]]</f>
        <v>4.5</v>
      </c>
      <c r="G236" s="4">
        <v>8</v>
      </c>
      <c r="H236" s="4">
        <f>Sales_data[[#This Row],[Quantity]]*Sales_data[[#This Row],[Base Price (PHP)]]</f>
        <v>116</v>
      </c>
      <c r="I236" s="4">
        <f>Sales_data[[#This Row],[Selling Price (PHP)]]*Sales_data[[#This Row],[Quantity]]</f>
        <v>152</v>
      </c>
      <c r="J236" s="4">
        <f>Sales_data[[#This Row],[Revenue]]*Sales_data[[#This Row],[Quantity]]</f>
        <v>36</v>
      </c>
      <c r="K236" s="4" t="s">
        <v>310</v>
      </c>
    </row>
    <row r="237" spans="1:11" x14ac:dyDescent="0.25">
      <c r="A237" s="3">
        <v>45082</v>
      </c>
      <c r="B237" s="1" t="s">
        <v>74</v>
      </c>
      <c r="C237" s="1" t="s">
        <v>123</v>
      </c>
      <c r="D237" s="4">
        <v>23.5</v>
      </c>
      <c r="E237" s="4">
        <v>28</v>
      </c>
      <c r="F237" s="4">
        <f>Sales_data[[#This Row],[Selling Price (PHP)]]-Sales_data[[#This Row],[Base Price (PHP)]]</f>
        <v>4.5</v>
      </c>
      <c r="G237" s="4">
        <v>8</v>
      </c>
      <c r="H237" s="4">
        <f>Sales_data[[#This Row],[Quantity]]*Sales_data[[#This Row],[Base Price (PHP)]]</f>
        <v>188</v>
      </c>
      <c r="I237" s="4">
        <f>Sales_data[[#This Row],[Selling Price (PHP)]]*Sales_data[[#This Row],[Quantity]]</f>
        <v>224</v>
      </c>
      <c r="J237" s="4">
        <f>Sales_data[[#This Row],[Revenue]]*Sales_data[[#This Row],[Quantity]]</f>
        <v>36</v>
      </c>
      <c r="K237" s="4" t="s">
        <v>311</v>
      </c>
    </row>
    <row r="238" spans="1:11" x14ac:dyDescent="0.25">
      <c r="A238" s="3">
        <v>45082</v>
      </c>
      <c r="B238" s="1" t="s">
        <v>24</v>
      </c>
      <c r="C238" s="1" t="s">
        <v>253</v>
      </c>
      <c r="D238" s="4">
        <v>8.17</v>
      </c>
      <c r="E238" s="4">
        <v>13</v>
      </c>
      <c r="F238" s="4">
        <f>Sales_data[[#This Row],[Selling Price (PHP)]]-Sales_data[[#This Row],[Base Price (PHP)]]</f>
        <v>4.83</v>
      </c>
      <c r="G238" s="4">
        <v>1</v>
      </c>
      <c r="H238" s="4">
        <f>Sales_data[[#This Row],[Quantity]]*Sales_data[[#This Row],[Base Price (PHP)]]</f>
        <v>8.17</v>
      </c>
      <c r="I238" s="4">
        <f>Sales_data[[#This Row],[Selling Price (PHP)]]*Sales_data[[#This Row],[Quantity]]</f>
        <v>13</v>
      </c>
      <c r="J238" s="4">
        <f>Sales_data[[#This Row],[Revenue]]*Sales_data[[#This Row],[Quantity]]</f>
        <v>4.83</v>
      </c>
      <c r="K238" s="4" t="s">
        <v>312</v>
      </c>
    </row>
    <row r="239" spans="1:11" x14ac:dyDescent="0.25">
      <c r="A239" s="3">
        <v>45082</v>
      </c>
      <c r="B239" s="1" t="s">
        <v>24</v>
      </c>
      <c r="C239" s="1" t="s">
        <v>145</v>
      </c>
      <c r="D239" s="4">
        <v>9.5</v>
      </c>
      <c r="E239" s="4">
        <v>14</v>
      </c>
      <c r="F239" s="4">
        <f>Sales_data[[#This Row],[Selling Price (PHP)]]-Sales_data[[#This Row],[Base Price (PHP)]]</f>
        <v>4.5</v>
      </c>
      <c r="G239" s="4">
        <v>5</v>
      </c>
      <c r="H239" s="4">
        <f>Sales_data[[#This Row],[Quantity]]*Sales_data[[#This Row],[Base Price (PHP)]]</f>
        <v>47.5</v>
      </c>
      <c r="I239" s="4">
        <f>Sales_data[[#This Row],[Selling Price (PHP)]]*Sales_data[[#This Row],[Quantity]]</f>
        <v>70</v>
      </c>
      <c r="J239" s="4">
        <f>Sales_data[[#This Row],[Revenue]]*Sales_data[[#This Row],[Quantity]]</f>
        <v>22.5</v>
      </c>
      <c r="K239" s="4" t="s">
        <v>313</v>
      </c>
    </row>
    <row r="240" spans="1:11" x14ac:dyDescent="0.25">
      <c r="A240" s="3">
        <v>45082</v>
      </c>
      <c r="B240" s="1" t="s">
        <v>7</v>
      </c>
      <c r="C240" s="1" t="s">
        <v>133</v>
      </c>
      <c r="D240" s="4">
        <v>10.25</v>
      </c>
      <c r="E240" s="4">
        <v>15</v>
      </c>
      <c r="F240" s="4">
        <f>Sales_data[[#This Row],[Selling Price (PHP)]]-Sales_data[[#This Row],[Base Price (PHP)]]</f>
        <v>4.75</v>
      </c>
      <c r="G240" s="4">
        <v>9</v>
      </c>
      <c r="H240" s="4">
        <f>Sales_data[[#This Row],[Quantity]]*Sales_data[[#This Row],[Base Price (PHP)]]</f>
        <v>92.25</v>
      </c>
      <c r="I240" s="4">
        <f>Sales_data[[#This Row],[Selling Price (PHP)]]*Sales_data[[#This Row],[Quantity]]</f>
        <v>135</v>
      </c>
      <c r="J240" s="4">
        <f>Sales_data[[#This Row],[Revenue]]*Sales_data[[#This Row],[Quantity]]</f>
        <v>42.75</v>
      </c>
      <c r="K240" s="4" t="s">
        <v>314</v>
      </c>
    </row>
    <row r="241" spans="1:11" x14ac:dyDescent="0.25">
      <c r="A241" s="3">
        <v>45083</v>
      </c>
      <c r="B241" s="1" t="s">
        <v>14</v>
      </c>
      <c r="C241" s="1" t="s">
        <v>192</v>
      </c>
      <c r="D241" s="4">
        <v>12.5</v>
      </c>
      <c r="E241" s="4">
        <v>18</v>
      </c>
      <c r="F241" s="4">
        <f>Sales_data[[#This Row],[Selling Price (PHP)]]-Sales_data[[#This Row],[Base Price (PHP)]]</f>
        <v>5.5</v>
      </c>
      <c r="G241" s="4">
        <v>2</v>
      </c>
      <c r="H241" s="4">
        <f>Sales_data[[#This Row],[Quantity]]*Sales_data[[#This Row],[Base Price (PHP)]]</f>
        <v>25</v>
      </c>
      <c r="I241" s="4">
        <f>Sales_data[[#This Row],[Selling Price (PHP)]]*Sales_data[[#This Row],[Quantity]]</f>
        <v>36</v>
      </c>
      <c r="J241" s="4">
        <f>Sales_data[[#This Row],[Revenue]]*Sales_data[[#This Row],[Quantity]]</f>
        <v>11</v>
      </c>
      <c r="K241" s="4" t="s">
        <v>315</v>
      </c>
    </row>
    <row r="242" spans="1:11" x14ac:dyDescent="0.25">
      <c r="A242" s="3">
        <v>45084</v>
      </c>
      <c r="B242" s="1" t="s">
        <v>10</v>
      </c>
      <c r="C242" s="1" t="s">
        <v>37</v>
      </c>
      <c r="D242" s="4">
        <v>13.83</v>
      </c>
      <c r="E242" s="4">
        <v>18</v>
      </c>
      <c r="F242" s="4">
        <f>Sales_data[[#This Row],[Selling Price (PHP)]]-Sales_data[[#This Row],[Base Price (PHP)]]</f>
        <v>4.17</v>
      </c>
      <c r="G242" s="4">
        <v>5</v>
      </c>
      <c r="H242" s="4">
        <f>Sales_data[[#This Row],[Quantity]]*Sales_data[[#This Row],[Base Price (PHP)]]</f>
        <v>69.150000000000006</v>
      </c>
      <c r="I242" s="4">
        <f>Sales_data[[#This Row],[Selling Price (PHP)]]*Sales_data[[#This Row],[Quantity]]</f>
        <v>90</v>
      </c>
      <c r="J242" s="4">
        <f>Sales_data[[#This Row],[Revenue]]*Sales_data[[#This Row],[Quantity]]</f>
        <v>20.85</v>
      </c>
      <c r="K242" s="4" t="s">
        <v>316</v>
      </c>
    </row>
    <row r="243" spans="1:11" x14ac:dyDescent="0.25">
      <c r="A243" s="3">
        <v>45085</v>
      </c>
      <c r="B243" s="1" t="s">
        <v>18</v>
      </c>
      <c r="C243" s="1" t="s">
        <v>19</v>
      </c>
      <c r="D243" s="4">
        <v>18.5</v>
      </c>
      <c r="E243" s="4">
        <v>23</v>
      </c>
      <c r="F243" s="4">
        <f>Sales_data[[#This Row],[Selling Price (PHP)]]-Sales_data[[#This Row],[Base Price (PHP)]]</f>
        <v>4.5</v>
      </c>
      <c r="G243" s="4">
        <v>6</v>
      </c>
      <c r="H243" s="4">
        <f>Sales_data[[#This Row],[Quantity]]*Sales_data[[#This Row],[Base Price (PHP)]]</f>
        <v>111</v>
      </c>
      <c r="I243" s="4">
        <f>Sales_data[[#This Row],[Selling Price (PHP)]]*Sales_data[[#This Row],[Quantity]]</f>
        <v>138</v>
      </c>
      <c r="J243" s="4">
        <f>Sales_data[[#This Row],[Revenue]]*Sales_data[[#This Row],[Quantity]]</f>
        <v>27</v>
      </c>
      <c r="K243" s="4" t="s">
        <v>317</v>
      </c>
    </row>
    <row r="244" spans="1:11" x14ac:dyDescent="0.25">
      <c r="A244" s="3">
        <v>45085</v>
      </c>
      <c r="B244" s="1" t="s">
        <v>71</v>
      </c>
      <c r="C244" s="1" t="s">
        <v>72</v>
      </c>
      <c r="D244" s="4">
        <v>22</v>
      </c>
      <c r="E244" s="4">
        <v>27</v>
      </c>
      <c r="F244" s="4">
        <f>Sales_data[[#This Row],[Selling Price (PHP)]]-Sales_data[[#This Row],[Base Price (PHP)]]</f>
        <v>5</v>
      </c>
      <c r="G244" s="4">
        <v>3</v>
      </c>
      <c r="H244" s="4">
        <f>Sales_data[[#This Row],[Quantity]]*Sales_data[[#This Row],[Base Price (PHP)]]</f>
        <v>66</v>
      </c>
      <c r="I244" s="4">
        <f>Sales_data[[#This Row],[Selling Price (PHP)]]*Sales_data[[#This Row],[Quantity]]</f>
        <v>81</v>
      </c>
      <c r="J244" s="4">
        <f>Sales_data[[#This Row],[Revenue]]*Sales_data[[#This Row],[Quantity]]</f>
        <v>15</v>
      </c>
      <c r="K244" s="4" t="s">
        <v>318</v>
      </c>
    </row>
    <row r="245" spans="1:11" x14ac:dyDescent="0.25">
      <c r="A245" s="3">
        <v>45085</v>
      </c>
      <c r="B245" s="1" t="s">
        <v>10</v>
      </c>
      <c r="C245" s="1" t="s">
        <v>37</v>
      </c>
      <c r="D245" s="4">
        <v>13.83</v>
      </c>
      <c r="E245" s="4">
        <v>18</v>
      </c>
      <c r="F245" s="4">
        <f>Sales_data[[#This Row],[Selling Price (PHP)]]-Sales_data[[#This Row],[Base Price (PHP)]]</f>
        <v>4.17</v>
      </c>
      <c r="G245" s="4">
        <v>1</v>
      </c>
      <c r="H245" s="4">
        <f>Sales_data[[#This Row],[Quantity]]*Sales_data[[#This Row],[Base Price (PHP)]]</f>
        <v>13.83</v>
      </c>
      <c r="I245" s="4">
        <f>Sales_data[[#This Row],[Selling Price (PHP)]]*Sales_data[[#This Row],[Quantity]]</f>
        <v>18</v>
      </c>
      <c r="J245" s="4">
        <f>Sales_data[[#This Row],[Revenue]]*Sales_data[[#This Row],[Quantity]]</f>
        <v>4.17</v>
      </c>
      <c r="K245" s="4" t="s">
        <v>319</v>
      </c>
    </row>
    <row r="246" spans="1:11" x14ac:dyDescent="0.25">
      <c r="A246" s="3">
        <v>45085</v>
      </c>
      <c r="B246" s="1" t="s">
        <v>7</v>
      </c>
      <c r="C246" s="1" t="s">
        <v>320</v>
      </c>
      <c r="D246" s="4">
        <v>32</v>
      </c>
      <c r="E246" s="4">
        <v>37</v>
      </c>
      <c r="F246" s="4">
        <f>Sales_data[[#This Row],[Selling Price (PHP)]]-Sales_data[[#This Row],[Base Price (PHP)]]</f>
        <v>5</v>
      </c>
      <c r="G246" s="4">
        <v>1</v>
      </c>
      <c r="H246" s="4">
        <f>Sales_data[[#This Row],[Quantity]]*Sales_data[[#This Row],[Base Price (PHP)]]</f>
        <v>32</v>
      </c>
      <c r="I246" s="4">
        <f>Sales_data[[#This Row],[Selling Price (PHP)]]*Sales_data[[#This Row],[Quantity]]</f>
        <v>37</v>
      </c>
      <c r="J246" s="4">
        <f>Sales_data[[#This Row],[Revenue]]*Sales_data[[#This Row],[Quantity]]</f>
        <v>5</v>
      </c>
      <c r="K246" s="4" t="s">
        <v>321</v>
      </c>
    </row>
    <row r="247" spans="1:11" x14ac:dyDescent="0.25">
      <c r="A247" s="3">
        <v>45085</v>
      </c>
      <c r="B247" s="1" t="s">
        <v>7</v>
      </c>
      <c r="C247" s="1" t="s">
        <v>320</v>
      </c>
      <c r="D247" s="4">
        <v>32</v>
      </c>
      <c r="E247" s="4">
        <v>37</v>
      </c>
      <c r="F247" s="4">
        <f>Sales_data[[#This Row],[Selling Price (PHP)]]-Sales_data[[#This Row],[Base Price (PHP)]]</f>
        <v>5</v>
      </c>
      <c r="G247" s="4">
        <v>3</v>
      </c>
      <c r="H247" s="4">
        <f>Sales_data[[#This Row],[Quantity]]*Sales_data[[#This Row],[Base Price (PHP)]]</f>
        <v>96</v>
      </c>
      <c r="I247" s="4">
        <f>Sales_data[[#This Row],[Selling Price (PHP)]]*Sales_data[[#This Row],[Quantity]]</f>
        <v>111</v>
      </c>
      <c r="J247" s="4">
        <f>Sales_data[[#This Row],[Revenue]]*Sales_data[[#This Row],[Quantity]]</f>
        <v>15</v>
      </c>
      <c r="K247" s="4" t="s">
        <v>322</v>
      </c>
    </row>
    <row r="248" spans="1:11" x14ac:dyDescent="0.25">
      <c r="A248" s="3">
        <v>45085</v>
      </c>
      <c r="B248" s="1" t="s">
        <v>7</v>
      </c>
      <c r="C248" s="1" t="s">
        <v>320</v>
      </c>
      <c r="D248" s="4">
        <v>32</v>
      </c>
      <c r="E248" s="4">
        <v>37</v>
      </c>
      <c r="F248" s="4">
        <f>Sales_data[[#This Row],[Selling Price (PHP)]]-Sales_data[[#This Row],[Base Price (PHP)]]</f>
        <v>5</v>
      </c>
      <c r="G248" s="4">
        <v>6</v>
      </c>
      <c r="H248" s="4">
        <f>Sales_data[[#This Row],[Quantity]]*Sales_data[[#This Row],[Base Price (PHP)]]</f>
        <v>192</v>
      </c>
      <c r="I248" s="4">
        <f>Sales_data[[#This Row],[Selling Price (PHP)]]*Sales_data[[#This Row],[Quantity]]</f>
        <v>222</v>
      </c>
      <c r="J248" s="4">
        <f>Sales_data[[#This Row],[Revenue]]*Sales_data[[#This Row],[Quantity]]</f>
        <v>30</v>
      </c>
      <c r="K248" s="4" t="s">
        <v>323</v>
      </c>
    </row>
    <row r="249" spans="1:11" x14ac:dyDescent="0.25">
      <c r="A249" s="3">
        <v>45086</v>
      </c>
      <c r="B249" s="1" t="s">
        <v>30</v>
      </c>
      <c r="C249" s="1" t="s">
        <v>105</v>
      </c>
      <c r="D249" s="4">
        <v>19.829999999999998</v>
      </c>
      <c r="E249" s="4">
        <v>24</v>
      </c>
      <c r="F249" s="4">
        <f>Sales_data[[#This Row],[Selling Price (PHP)]]-Sales_data[[#This Row],[Base Price (PHP)]]</f>
        <v>4.1700000000000017</v>
      </c>
      <c r="G249" s="4">
        <v>1</v>
      </c>
      <c r="H249" s="4">
        <f>Sales_data[[#This Row],[Quantity]]*Sales_data[[#This Row],[Base Price (PHP)]]</f>
        <v>19.829999999999998</v>
      </c>
      <c r="I249" s="4">
        <f>Sales_data[[#This Row],[Selling Price (PHP)]]*Sales_data[[#This Row],[Quantity]]</f>
        <v>24</v>
      </c>
      <c r="J249" s="4">
        <f>Sales_data[[#This Row],[Revenue]]*Sales_data[[#This Row],[Quantity]]</f>
        <v>4.1700000000000017</v>
      </c>
      <c r="K249" s="4" t="s">
        <v>324</v>
      </c>
    </row>
    <row r="250" spans="1:11" x14ac:dyDescent="0.25">
      <c r="A250" s="3">
        <v>45086</v>
      </c>
      <c r="B250" s="1" t="s">
        <v>48</v>
      </c>
      <c r="C250" s="1" t="s">
        <v>150</v>
      </c>
      <c r="D250" s="4">
        <v>39</v>
      </c>
      <c r="E250" s="4">
        <v>45</v>
      </c>
      <c r="F250" s="4">
        <f>Sales_data[[#This Row],[Selling Price (PHP)]]-Sales_data[[#This Row],[Base Price (PHP)]]</f>
        <v>6</v>
      </c>
      <c r="G250" s="4">
        <v>2</v>
      </c>
      <c r="H250" s="4">
        <f>Sales_data[[#This Row],[Quantity]]*Sales_data[[#This Row],[Base Price (PHP)]]</f>
        <v>78</v>
      </c>
      <c r="I250" s="4">
        <f>Sales_data[[#This Row],[Selling Price (PHP)]]*Sales_data[[#This Row],[Quantity]]</f>
        <v>90</v>
      </c>
      <c r="J250" s="4">
        <f>Sales_data[[#This Row],[Revenue]]*Sales_data[[#This Row],[Quantity]]</f>
        <v>12</v>
      </c>
      <c r="K250" s="4" t="s">
        <v>325</v>
      </c>
    </row>
    <row r="251" spans="1:11" x14ac:dyDescent="0.25">
      <c r="A251" s="3">
        <v>45086</v>
      </c>
      <c r="B251" s="1" t="s">
        <v>74</v>
      </c>
      <c r="C251" s="1" t="s">
        <v>75</v>
      </c>
      <c r="D251" s="4">
        <v>45.24</v>
      </c>
      <c r="E251" s="4">
        <v>65</v>
      </c>
      <c r="F251" s="4">
        <f>Sales_data[[#This Row],[Selling Price (PHP)]]-Sales_data[[#This Row],[Base Price (PHP)]]</f>
        <v>19.759999999999998</v>
      </c>
      <c r="G251" s="4">
        <v>3</v>
      </c>
      <c r="H251" s="4">
        <f>Sales_data[[#This Row],[Quantity]]*Sales_data[[#This Row],[Base Price (PHP)]]</f>
        <v>135.72</v>
      </c>
      <c r="I251" s="4">
        <f>Sales_data[[#This Row],[Selling Price (PHP)]]*Sales_data[[#This Row],[Quantity]]</f>
        <v>195</v>
      </c>
      <c r="J251" s="4">
        <f>Sales_data[[#This Row],[Revenue]]*Sales_data[[#This Row],[Quantity]]</f>
        <v>59.279999999999994</v>
      </c>
      <c r="K251" s="4" t="s">
        <v>326</v>
      </c>
    </row>
    <row r="252" spans="1:11" x14ac:dyDescent="0.25">
      <c r="A252" s="3">
        <v>45087</v>
      </c>
      <c r="B252" s="1" t="s">
        <v>71</v>
      </c>
      <c r="C252" s="1" t="s">
        <v>72</v>
      </c>
      <c r="D252" s="4">
        <v>22</v>
      </c>
      <c r="E252" s="4">
        <v>27</v>
      </c>
      <c r="F252" s="4">
        <f>Sales_data[[#This Row],[Selling Price (PHP)]]-Sales_data[[#This Row],[Base Price (PHP)]]</f>
        <v>5</v>
      </c>
      <c r="G252" s="4">
        <v>8</v>
      </c>
      <c r="H252" s="4">
        <f>Sales_data[[#This Row],[Quantity]]*Sales_data[[#This Row],[Base Price (PHP)]]</f>
        <v>176</v>
      </c>
      <c r="I252" s="4">
        <f>Sales_data[[#This Row],[Selling Price (PHP)]]*Sales_data[[#This Row],[Quantity]]</f>
        <v>216</v>
      </c>
      <c r="J252" s="4">
        <f>Sales_data[[#This Row],[Revenue]]*Sales_data[[#This Row],[Quantity]]</f>
        <v>40</v>
      </c>
      <c r="K252" s="4" t="s">
        <v>327</v>
      </c>
    </row>
    <row r="253" spans="1:11" x14ac:dyDescent="0.25">
      <c r="A253" s="3">
        <v>45087</v>
      </c>
      <c r="B253" s="1" t="s">
        <v>21</v>
      </c>
      <c r="C253" s="1" t="s">
        <v>22</v>
      </c>
      <c r="D253" s="4">
        <v>15.67</v>
      </c>
      <c r="E253" s="4">
        <v>20</v>
      </c>
      <c r="F253" s="4">
        <f>Sales_data[[#This Row],[Selling Price (PHP)]]-Sales_data[[#This Row],[Base Price (PHP)]]</f>
        <v>4.33</v>
      </c>
      <c r="G253" s="4">
        <v>8</v>
      </c>
      <c r="H253" s="4">
        <f>Sales_data[[#This Row],[Quantity]]*Sales_data[[#This Row],[Base Price (PHP)]]</f>
        <v>125.36</v>
      </c>
      <c r="I253" s="4">
        <f>Sales_data[[#This Row],[Selling Price (PHP)]]*Sales_data[[#This Row],[Quantity]]</f>
        <v>160</v>
      </c>
      <c r="J253" s="4">
        <f>Sales_data[[#This Row],[Revenue]]*Sales_data[[#This Row],[Quantity]]</f>
        <v>34.64</v>
      </c>
      <c r="K253" s="4" t="s">
        <v>328</v>
      </c>
    </row>
    <row r="254" spans="1:11" x14ac:dyDescent="0.25">
      <c r="A254" s="3">
        <v>45087</v>
      </c>
      <c r="B254" s="1" t="s">
        <v>10</v>
      </c>
      <c r="C254" s="1" t="s">
        <v>137</v>
      </c>
      <c r="D254" s="4">
        <v>12.5</v>
      </c>
      <c r="E254" s="4">
        <v>17</v>
      </c>
      <c r="F254" s="4">
        <f>Sales_data[[#This Row],[Selling Price (PHP)]]-Sales_data[[#This Row],[Base Price (PHP)]]</f>
        <v>4.5</v>
      </c>
      <c r="G254" s="4">
        <v>9</v>
      </c>
      <c r="H254" s="4">
        <f>Sales_data[[#This Row],[Quantity]]*Sales_data[[#This Row],[Base Price (PHP)]]</f>
        <v>112.5</v>
      </c>
      <c r="I254" s="4">
        <f>Sales_data[[#This Row],[Selling Price (PHP)]]*Sales_data[[#This Row],[Quantity]]</f>
        <v>153</v>
      </c>
      <c r="J254" s="4">
        <f>Sales_data[[#This Row],[Revenue]]*Sales_data[[#This Row],[Quantity]]</f>
        <v>40.5</v>
      </c>
      <c r="K254" s="4" t="s">
        <v>329</v>
      </c>
    </row>
    <row r="255" spans="1:11" x14ac:dyDescent="0.25">
      <c r="A255" s="3">
        <v>45087</v>
      </c>
      <c r="B255" s="1" t="s">
        <v>7</v>
      </c>
      <c r="C255" s="1" t="s">
        <v>133</v>
      </c>
      <c r="D255" s="4">
        <v>10.25</v>
      </c>
      <c r="E255" s="4">
        <v>15</v>
      </c>
      <c r="F255" s="4">
        <f>Sales_data[[#This Row],[Selling Price (PHP)]]-Sales_data[[#This Row],[Base Price (PHP)]]</f>
        <v>4.75</v>
      </c>
      <c r="G255" s="4">
        <v>10</v>
      </c>
      <c r="H255" s="4">
        <f>Sales_data[[#This Row],[Quantity]]*Sales_data[[#This Row],[Base Price (PHP)]]</f>
        <v>102.5</v>
      </c>
      <c r="I255" s="4">
        <f>Sales_data[[#This Row],[Selling Price (PHP)]]*Sales_data[[#This Row],[Quantity]]</f>
        <v>150</v>
      </c>
      <c r="J255" s="4">
        <f>Sales_data[[#This Row],[Revenue]]*Sales_data[[#This Row],[Quantity]]</f>
        <v>47.5</v>
      </c>
      <c r="K255" s="4" t="s">
        <v>330</v>
      </c>
    </row>
    <row r="256" spans="1:11" x14ac:dyDescent="0.25">
      <c r="A256" s="3">
        <v>45088</v>
      </c>
      <c r="B256" s="1" t="s">
        <v>21</v>
      </c>
      <c r="C256" s="1" t="s">
        <v>112</v>
      </c>
      <c r="D256" s="4">
        <v>12.5</v>
      </c>
      <c r="E256" s="4">
        <v>16</v>
      </c>
      <c r="F256" s="4">
        <f>Sales_data[[#This Row],[Selling Price (PHP)]]-Sales_data[[#This Row],[Base Price (PHP)]]</f>
        <v>3.5</v>
      </c>
      <c r="G256" s="4">
        <v>4</v>
      </c>
      <c r="H256" s="4">
        <f>Sales_data[[#This Row],[Quantity]]*Sales_data[[#This Row],[Base Price (PHP)]]</f>
        <v>50</v>
      </c>
      <c r="I256" s="4">
        <f>Sales_data[[#This Row],[Selling Price (PHP)]]*Sales_data[[#This Row],[Quantity]]</f>
        <v>64</v>
      </c>
      <c r="J256" s="4">
        <f>Sales_data[[#This Row],[Revenue]]*Sales_data[[#This Row],[Quantity]]</f>
        <v>14</v>
      </c>
      <c r="K256" s="4" t="s">
        <v>331</v>
      </c>
    </row>
    <row r="257" spans="1:11" x14ac:dyDescent="0.25">
      <c r="A257" s="3">
        <v>45089</v>
      </c>
      <c r="B257" s="1" t="s">
        <v>30</v>
      </c>
      <c r="C257" s="1" t="s">
        <v>119</v>
      </c>
      <c r="D257" s="4">
        <v>14</v>
      </c>
      <c r="E257" s="4">
        <v>19</v>
      </c>
      <c r="F257" s="4">
        <f>Sales_data[[#This Row],[Selling Price (PHP)]]-Sales_data[[#This Row],[Base Price (PHP)]]</f>
        <v>5</v>
      </c>
      <c r="G257" s="4">
        <v>4</v>
      </c>
      <c r="H257" s="4">
        <f>Sales_data[[#This Row],[Quantity]]*Sales_data[[#This Row],[Base Price (PHP)]]</f>
        <v>56</v>
      </c>
      <c r="I257" s="4">
        <f>Sales_data[[#This Row],[Selling Price (PHP)]]*Sales_data[[#This Row],[Quantity]]</f>
        <v>76</v>
      </c>
      <c r="J257" s="4">
        <f>Sales_data[[#This Row],[Revenue]]*Sales_data[[#This Row],[Quantity]]</f>
        <v>20</v>
      </c>
      <c r="K257" s="4" t="s">
        <v>332</v>
      </c>
    </row>
    <row r="258" spans="1:11" x14ac:dyDescent="0.25">
      <c r="A258" s="3">
        <v>45089</v>
      </c>
      <c r="B258" s="1" t="s">
        <v>30</v>
      </c>
      <c r="C258" s="1" t="s">
        <v>31</v>
      </c>
      <c r="D258" s="4">
        <v>20.329999999999998</v>
      </c>
      <c r="E258" s="4">
        <v>25</v>
      </c>
      <c r="F258" s="4">
        <f>Sales_data[[#This Row],[Selling Price (PHP)]]-Sales_data[[#This Row],[Base Price (PHP)]]</f>
        <v>4.6700000000000017</v>
      </c>
      <c r="G258" s="4">
        <v>2</v>
      </c>
      <c r="H258" s="4">
        <f>Sales_data[[#This Row],[Quantity]]*Sales_data[[#This Row],[Base Price (PHP)]]</f>
        <v>40.659999999999997</v>
      </c>
      <c r="I258" s="4">
        <f>Sales_data[[#This Row],[Selling Price (PHP)]]*Sales_data[[#This Row],[Quantity]]</f>
        <v>50</v>
      </c>
      <c r="J258" s="4">
        <f>Sales_data[[#This Row],[Revenue]]*Sales_data[[#This Row],[Quantity]]</f>
        <v>9.3400000000000034</v>
      </c>
      <c r="K258" s="4" t="s">
        <v>333</v>
      </c>
    </row>
    <row r="259" spans="1:11" x14ac:dyDescent="0.25">
      <c r="A259" s="3">
        <v>45090</v>
      </c>
      <c r="B259" s="1" t="s">
        <v>45</v>
      </c>
      <c r="C259" s="1" t="s">
        <v>300</v>
      </c>
      <c r="D259" s="4">
        <v>10.5</v>
      </c>
      <c r="E259" s="4">
        <v>15</v>
      </c>
      <c r="F259" s="4">
        <f>Sales_data[[#This Row],[Selling Price (PHP)]]-Sales_data[[#This Row],[Base Price (PHP)]]</f>
        <v>4.5</v>
      </c>
      <c r="G259" s="4">
        <v>2</v>
      </c>
      <c r="H259" s="4">
        <f>Sales_data[[#This Row],[Quantity]]*Sales_data[[#This Row],[Base Price (PHP)]]</f>
        <v>21</v>
      </c>
      <c r="I259" s="4">
        <f>Sales_data[[#This Row],[Selling Price (PHP)]]*Sales_data[[#This Row],[Quantity]]</f>
        <v>30</v>
      </c>
      <c r="J259" s="4">
        <f>Sales_data[[#This Row],[Revenue]]*Sales_data[[#This Row],[Quantity]]</f>
        <v>9</v>
      </c>
      <c r="K259" s="4" t="s">
        <v>334</v>
      </c>
    </row>
    <row r="260" spans="1:11" x14ac:dyDescent="0.25">
      <c r="A260" s="3">
        <v>45090</v>
      </c>
      <c r="B260" s="1" t="s">
        <v>7</v>
      </c>
      <c r="C260" s="1" t="s">
        <v>320</v>
      </c>
      <c r="D260" s="4">
        <v>32</v>
      </c>
      <c r="E260" s="4">
        <v>37</v>
      </c>
      <c r="F260" s="4">
        <f>Sales_data[[#This Row],[Selling Price (PHP)]]-Sales_data[[#This Row],[Base Price (PHP)]]</f>
        <v>5</v>
      </c>
      <c r="G260" s="4">
        <v>2</v>
      </c>
      <c r="H260" s="4">
        <f>Sales_data[[#This Row],[Quantity]]*Sales_data[[#This Row],[Base Price (PHP)]]</f>
        <v>64</v>
      </c>
      <c r="I260" s="4">
        <f>Sales_data[[#This Row],[Selling Price (PHP)]]*Sales_data[[#This Row],[Quantity]]</f>
        <v>74</v>
      </c>
      <c r="J260" s="4">
        <f>Sales_data[[#This Row],[Revenue]]*Sales_data[[#This Row],[Quantity]]</f>
        <v>10</v>
      </c>
      <c r="K260" s="4" t="s">
        <v>335</v>
      </c>
    </row>
    <row r="261" spans="1:11" x14ac:dyDescent="0.25">
      <c r="A261" s="3">
        <v>45091</v>
      </c>
      <c r="B261" s="1" t="s">
        <v>10</v>
      </c>
      <c r="C261" s="1" t="s">
        <v>336</v>
      </c>
      <c r="D261" s="4">
        <v>17.170000000000002</v>
      </c>
      <c r="E261" s="4">
        <v>22</v>
      </c>
      <c r="F261" s="4">
        <f>Sales_data[[#This Row],[Selling Price (PHP)]]-Sales_data[[#This Row],[Base Price (PHP)]]</f>
        <v>4.8299999999999983</v>
      </c>
      <c r="G261" s="4">
        <v>3</v>
      </c>
      <c r="H261" s="4">
        <f>Sales_data[[#This Row],[Quantity]]*Sales_data[[#This Row],[Base Price (PHP)]]</f>
        <v>51.510000000000005</v>
      </c>
      <c r="I261" s="4">
        <f>Sales_data[[#This Row],[Selling Price (PHP)]]*Sales_data[[#This Row],[Quantity]]</f>
        <v>66</v>
      </c>
      <c r="J261" s="4">
        <f>Sales_data[[#This Row],[Revenue]]*Sales_data[[#This Row],[Quantity]]</f>
        <v>14.489999999999995</v>
      </c>
      <c r="K261" s="4" t="s">
        <v>337</v>
      </c>
    </row>
    <row r="262" spans="1:11" x14ac:dyDescent="0.25">
      <c r="A262" s="3">
        <v>45091</v>
      </c>
      <c r="B262" s="1" t="s">
        <v>24</v>
      </c>
      <c r="C262" s="1" t="s">
        <v>253</v>
      </c>
      <c r="D262" s="4">
        <v>8.17</v>
      </c>
      <c r="E262" s="4">
        <v>13</v>
      </c>
      <c r="F262" s="4">
        <f>Sales_data[[#This Row],[Selling Price (PHP)]]-Sales_data[[#This Row],[Base Price (PHP)]]</f>
        <v>4.83</v>
      </c>
      <c r="G262" s="4">
        <v>7</v>
      </c>
      <c r="H262" s="4">
        <f>Sales_data[[#This Row],[Quantity]]*Sales_data[[#This Row],[Base Price (PHP)]]</f>
        <v>57.19</v>
      </c>
      <c r="I262" s="4">
        <f>Sales_data[[#This Row],[Selling Price (PHP)]]*Sales_data[[#This Row],[Quantity]]</f>
        <v>91</v>
      </c>
      <c r="J262" s="4">
        <f>Sales_data[[#This Row],[Revenue]]*Sales_data[[#This Row],[Quantity]]</f>
        <v>33.81</v>
      </c>
      <c r="K262" s="4" t="s">
        <v>338</v>
      </c>
    </row>
    <row r="263" spans="1:11" x14ac:dyDescent="0.25">
      <c r="A263" s="3">
        <v>45092</v>
      </c>
      <c r="B263" s="1" t="s">
        <v>71</v>
      </c>
      <c r="C263" s="1" t="s">
        <v>161</v>
      </c>
      <c r="D263" s="4">
        <v>48.67</v>
      </c>
      <c r="E263" s="4">
        <v>58</v>
      </c>
      <c r="F263" s="4">
        <f>Sales_data[[#This Row],[Selling Price (PHP)]]-Sales_data[[#This Row],[Base Price (PHP)]]</f>
        <v>9.3299999999999983</v>
      </c>
      <c r="G263" s="4">
        <v>6</v>
      </c>
      <c r="H263" s="4">
        <f>Sales_data[[#This Row],[Quantity]]*Sales_data[[#This Row],[Base Price (PHP)]]</f>
        <v>292.02</v>
      </c>
      <c r="I263" s="4">
        <f>Sales_data[[#This Row],[Selling Price (PHP)]]*Sales_data[[#This Row],[Quantity]]</f>
        <v>348</v>
      </c>
      <c r="J263" s="4">
        <f>Sales_data[[#This Row],[Revenue]]*Sales_data[[#This Row],[Quantity]]</f>
        <v>55.97999999999999</v>
      </c>
      <c r="K263" s="4" t="s">
        <v>339</v>
      </c>
    </row>
    <row r="264" spans="1:11" x14ac:dyDescent="0.25">
      <c r="A264" s="3">
        <v>45092</v>
      </c>
      <c r="B264" s="1" t="s">
        <v>10</v>
      </c>
      <c r="C264" s="1" t="s">
        <v>336</v>
      </c>
      <c r="D264" s="4">
        <v>17.170000000000002</v>
      </c>
      <c r="E264" s="4">
        <v>22</v>
      </c>
      <c r="F264" s="4">
        <f>Sales_data[[#This Row],[Selling Price (PHP)]]-Sales_data[[#This Row],[Base Price (PHP)]]</f>
        <v>4.8299999999999983</v>
      </c>
      <c r="G264" s="4">
        <v>8</v>
      </c>
      <c r="H264" s="4">
        <f>Sales_data[[#This Row],[Quantity]]*Sales_data[[#This Row],[Base Price (PHP)]]</f>
        <v>137.36000000000001</v>
      </c>
      <c r="I264" s="4">
        <f>Sales_data[[#This Row],[Selling Price (PHP)]]*Sales_data[[#This Row],[Quantity]]</f>
        <v>176</v>
      </c>
      <c r="J264" s="4">
        <f>Sales_data[[#This Row],[Revenue]]*Sales_data[[#This Row],[Quantity]]</f>
        <v>38.639999999999986</v>
      </c>
      <c r="K264" s="4" t="s">
        <v>340</v>
      </c>
    </row>
    <row r="265" spans="1:11" x14ac:dyDescent="0.25">
      <c r="A265" s="3">
        <v>45092</v>
      </c>
      <c r="B265" s="1" t="s">
        <v>7</v>
      </c>
      <c r="C265" s="1" t="s">
        <v>39</v>
      </c>
      <c r="D265" s="4">
        <v>7.83</v>
      </c>
      <c r="E265" s="4">
        <v>12</v>
      </c>
      <c r="F265" s="4">
        <f>Sales_data[[#This Row],[Selling Price (PHP)]]-Sales_data[[#This Row],[Base Price (PHP)]]</f>
        <v>4.17</v>
      </c>
      <c r="G265" s="4">
        <v>3</v>
      </c>
      <c r="H265" s="4">
        <f>Sales_data[[#This Row],[Quantity]]*Sales_data[[#This Row],[Base Price (PHP)]]</f>
        <v>23.490000000000002</v>
      </c>
      <c r="I265" s="4">
        <f>Sales_data[[#This Row],[Selling Price (PHP)]]*Sales_data[[#This Row],[Quantity]]</f>
        <v>36</v>
      </c>
      <c r="J265" s="4">
        <f>Sales_data[[#This Row],[Revenue]]*Sales_data[[#This Row],[Quantity]]</f>
        <v>12.51</v>
      </c>
      <c r="K265" s="4" t="s">
        <v>341</v>
      </c>
    </row>
    <row r="266" spans="1:11" x14ac:dyDescent="0.25">
      <c r="A266" s="3">
        <v>45092</v>
      </c>
      <c r="B266" s="1" t="s">
        <v>7</v>
      </c>
      <c r="C266" s="1" t="s">
        <v>131</v>
      </c>
      <c r="D266" s="4">
        <v>8.75</v>
      </c>
      <c r="E266" s="4">
        <v>14</v>
      </c>
      <c r="F266" s="4">
        <f>Sales_data[[#This Row],[Selling Price (PHP)]]-Sales_data[[#This Row],[Base Price (PHP)]]</f>
        <v>5.25</v>
      </c>
      <c r="G266" s="4">
        <v>5</v>
      </c>
      <c r="H266" s="4">
        <f>Sales_data[[#This Row],[Quantity]]*Sales_data[[#This Row],[Base Price (PHP)]]</f>
        <v>43.75</v>
      </c>
      <c r="I266" s="4">
        <f>Sales_data[[#This Row],[Selling Price (PHP)]]*Sales_data[[#This Row],[Quantity]]</f>
        <v>70</v>
      </c>
      <c r="J266" s="4">
        <f>Sales_data[[#This Row],[Revenue]]*Sales_data[[#This Row],[Quantity]]</f>
        <v>26.25</v>
      </c>
      <c r="K266" s="4" t="s">
        <v>342</v>
      </c>
    </row>
    <row r="267" spans="1:11" x14ac:dyDescent="0.25">
      <c r="A267" s="3">
        <v>45093</v>
      </c>
      <c r="B267" s="1" t="s">
        <v>21</v>
      </c>
      <c r="C267" s="1" t="s">
        <v>22</v>
      </c>
      <c r="D267" s="4">
        <v>15.67</v>
      </c>
      <c r="E267" s="4">
        <v>20</v>
      </c>
      <c r="F267" s="4">
        <f>Sales_data[[#This Row],[Selling Price (PHP)]]-Sales_data[[#This Row],[Base Price (PHP)]]</f>
        <v>4.33</v>
      </c>
      <c r="G267" s="4">
        <v>10</v>
      </c>
      <c r="H267" s="4">
        <f>Sales_data[[#This Row],[Quantity]]*Sales_data[[#This Row],[Base Price (PHP)]]</f>
        <v>156.69999999999999</v>
      </c>
      <c r="I267" s="4">
        <f>Sales_data[[#This Row],[Selling Price (PHP)]]*Sales_data[[#This Row],[Quantity]]</f>
        <v>200</v>
      </c>
      <c r="J267" s="4">
        <f>Sales_data[[#This Row],[Revenue]]*Sales_data[[#This Row],[Quantity]]</f>
        <v>43.3</v>
      </c>
      <c r="K267" s="4" t="s">
        <v>343</v>
      </c>
    </row>
    <row r="268" spans="1:11" x14ac:dyDescent="0.25">
      <c r="A268" s="3">
        <v>45093</v>
      </c>
      <c r="B268" s="1" t="s">
        <v>81</v>
      </c>
      <c r="C268" s="1" t="s">
        <v>121</v>
      </c>
      <c r="D268" s="4">
        <v>3.15</v>
      </c>
      <c r="E268" s="4">
        <v>5</v>
      </c>
      <c r="F268" s="4">
        <f>Sales_data[[#This Row],[Selling Price (PHP)]]-Sales_data[[#This Row],[Base Price (PHP)]]</f>
        <v>1.85</v>
      </c>
      <c r="G268" s="4">
        <v>7</v>
      </c>
      <c r="H268" s="4">
        <f>Sales_data[[#This Row],[Quantity]]*Sales_data[[#This Row],[Base Price (PHP)]]</f>
        <v>22.05</v>
      </c>
      <c r="I268" s="4">
        <f>Sales_data[[#This Row],[Selling Price (PHP)]]*Sales_data[[#This Row],[Quantity]]</f>
        <v>35</v>
      </c>
      <c r="J268" s="4">
        <f>Sales_data[[#This Row],[Revenue]]*Sales_data[[#This Row],[Quantity]]</f>
        <v>12.950000000000001</v>
      </c>
      <c r="K268" s="4" t="s">
        <v>344</v>
      </c>
    </row>
    <row r="269" spans="1:11" x14ac:dyDescent="0.25">
      <c r="A269" s="3">
        <v>45093</v>
      </c>
      <c r="B269" s="1" t="s">
        <v>7</v>
      </c>
      <c r="C269" s="1" t="s">
        <v>52</v>
      </c>
      <c r="D269" s="4">
        <v>14.5</v>
      </c>
      <c r="E269" s="4">
        <v>19</v>
      </c>
      <c r="F269" s="4">
        <f>Sales_data[[#This Row],[Selling Price (PHP)]]-Sales_data[[#This Row],[Base Price (PHP)]]</f>
        <v>4.5</v>
      </c>
      <c r="G269" s="4">
        <v>1</v>
      </c>
      <c r="H269" s="4">
        <f>Sales_data[[#This Row],[Quantity]]*Sales_data[[#This Row],[Base Price (PHP)]]</f>
        <v>14.5</v>
      </c>
      <c r="I269" s="4">
        <f>Sales_data[[#This Row],[Selling Price (PHP)]]*Sales_data[[#This Row],[Quantity]]</f>
        <v>19</v>
      </c>
      <c r="J269" s="4">
        <f>Sales_data[[#This Row],[Revenue]]*Sales_data[[#This Row],[Quantity]]</f>
        <v>4.5</v>
      </c>
      <c r="K269" s="4" t="s">
        <v>345</v>
      </c>
    </row>
    <row r="270" spans="1:11" x14ac:dyDescent="0.25">
      <c r="A270" s="3">
        <v>45093</v>
      </c>
      <c r="B270" s="1" t="s">
        <v>7</v>
      </c>
      <c r="C270" s="1" t="s">
        <v>52</v>
      </c>
      <c r="D270" s="4">
        <v>14.5</v>
      </c>
      <c r="E270" s="4">
        <v>19</v>
      </c>
      <c r="F270" s="4">
        <f>Sales_data[[#This Row],[Selling Price (PHP)]]-Sales_data[[#This Row],[Base Price (PHP)]]</f>
        <v>4.5</v>
      </c>
      <c r="G270" s="4">
        <v>2</v>
      </c>
      <c r="H270" s="4">
        <f>Sales_data[[#This Row],[Quantity]]*Sales_data[[#This Row],[Base Price (PHP)]]</f>
        <v>29</v>
      </c>
      <c r="I270" s="4">
        <f>Sales_data[[#This Row],[Selling Price (PHP)]]*Sales_data[[#This Row],[Quantity]]</f>
        <v>38</v>
      </c>
      <c r="J270" s="4">
        <f>Sales_data[[#This Row],[Revenue]]*Sales_data[[#This Row],[Quantity]]</f>
        <v>9</v>
      </c>
      <c r="K270" s="4" t="s">
        <v>346</v>
      </c>
    </row>
    <row r="271" spans="1:11" x14ac:dyDescent="0.25">
      <c r="A271" s="3">
        <v>45093</v>
      </c>
      <c r="B271" s="1" t="s">
        <v>7</v>
      </c>
      <c r="C271" s="1" t="s">
        <v>52</v>
      </c>
      <c r="D271" s="4">
        <v>14.5</v>
      </c>
      <c r="E271" s="4">
        <v>19</v>
      </c>
      <c r="F271" s="4">
        <f>Sales_data[[#This Row],[Selling Price (PHP)]]-Sales_data[[#This Row],[Base Price (PHP)]]</f>
        <v>4.5</v>
      </c>
      <c r="G271" s="4">
        <v>9</v>
      </c>
      <c r="H271" s="4">
        <f>Sales_data[[#This Row],[Quantity]]*Sales_data[[#This Row],[Base Price (PHP)]]</f>
        <v>130.5</v>
      </c>
      <c r="I271" s="4">
        <f>Sales_data[[#This Row],[Selling Price (PHP)]]*Sales_data[[#This Row],[Quantity]]</f>
        <v>171</v>
      </c>
      <c r="J271" s="4">
        <f>Sales_data[[#This Row],[Revenue]]*Sales_data[[#This Row],[Quantity]]</f>
        <v>40.5</v>
      </c>
      <c r="K271" s="4" t="s">
        <v>347</v>
      </c>
    </row>
    <row r="272" spans="1:11" x14ac:dyDescent="0.25">
      <c r="A272" s="3">
        <v>45094</v>
      </c>
      <c r="B272" s="1" t="s">
        <v>7</v>
      </c>
      <c r="C272" s="1" t="s">
        <v>52</v>
      </c>
      <c r="D272" s="4">
        <v>14.5</v>
      </c>
      <c r="E272" s="4">
        <v>19</v>
      </c>
      <c r="F272" s="4">
        <f>Sales_data[[#This Row],[Selling Price (PHP)]]-Sales_data[[#This Row],[Base Price (PHP)]]</f>
        <v>4.5</v>
      </c>
      <c r="G272" s="4">
        <v>8</v>
      </c>
      <c r="H272" s="4">
        <f>Sales_data[[#This Row],[Quantity]]*Sales_data[[#This Row],[Base Price (PHP)]]</f>
        <v>116</v>
      </c>
      <c r="I272" s="4">
        <f>Sales_data[[#This Row],[Selling Price (PHP)]]*Sales_data[[#This Row],[Quantity]]</f>
        <v>152</v>
      </c>
      <c r="J272" s="4">
        <f>Sales_data[[#This Row],[Revenue]]*Sales_data[[#This Row],[Quantity]]</f>
        <v>36</v>
      </c>
      <c r="K272" s="4" t="s">
        <v>348</v>
      </c>
    </row>
    <row r="273" spans="1:11" x14ac:dyDescent="0.25">
      <c r="A273" s="3">
        <v>45095</v>
      </c>
      <c r="B273" s="1" t="s">
        <v>14</v>
      </c>
      <c r="C273" s="1" t="s">
        <v>15</v>
      </c>
      <c r="D273" s="4">
        <v>10.25</v>
      </c>
      <c r="E273" s="4">
        <v>14</v>
      </c>
      <c r="F273" s="4">
        <f>Sales_data[[#This Row],[Selling Price (PHP)]]-Sales_data[[#This Row],[Base Price (PHP)]]</f>
        <v>3.75</v>
      </c>
      <c r="G273" s="4">
        <v>3</v>
      </c>
      <c r="H273" s="4">
        <f>Sales_data[[#This Row],[Quantity]]*Sales_data[[#This Row],[Base Price (PHP)]]</f>
        <v>30.75</v>
      </c>
      <c r="I273" s="4">
        <f>Sales_data[[#This Row],[Selling Price (PHP)]]*Sales_data[[#This Row],[Quantity]]</f>
        <v>42</v>
      </c>
      <c r="J273" s="4">
        <f>Sales_data[[#This Row],[Revenue]]*Sales_data[[#This Row],[Quantity]]</f>
        <v>11.25</v>
      </c>
      <c r="K273" s="4" t="s">
        <v>349</v>
      </c>
    </row>
    <row r="274" spans="1:11" x14ac:dyDescent="0.25">
      <c r="A274" s="3">
        <v>45095</v>
      </c>
      <c r="B274" s="1" t="s">
        <v>14</v>
      </c>
      <c r="C274" s="1" t="s">
        <v>15</v>
      </c>
      <c r="D274" s="4">
        <v>10.25</v>
      </c>
      <c r="E274" s="4">
        <v>14</v>
      </c>
      <c r="F274" s="4">
        <f>Sales_data[[#This Row],[Selling Price (PHP)]]-Sales_data[[#This Row],[Base Price (PHP)]]</f>
        <v>3.75</v>
      </c>
      <c r="G274" s="4">
        <v>5</v>
      </c>
      <c r="H274" s="4">
        <f>Sales_data[[#This Row],[Quantity]]*Sales_data[[#This Row],[Base Price (PHP)]]</f>
        <v>51.25</v>
      </c>
      <c r="I274" s="4">
        <f>Sales_data[[#This Row],[Selling Price (PHP)]]*Sales_data[[#This Row],[Quantity]]</f>
        <v>70</v>
      </c>
      <c r="J274" s="4">
        <f>Sales_data[[#This Row],[Revenue]]*Sales_data[[#This Row],[Quantity]]</f>
        <v>18.75</v>
      </c>
      <c r="K274" s="4" t="s">
        <v>350</v>
      </c>
    </row>
    <row r="275" spans="1:11" x14ac:dyDescent="0.25">
      <c r="A275" s="3">
        <v>45095</v>
      </c>
      <c r="B275" s="1" t="s">
        <v>81</v>
      </c>
      <c r="C275" s="1" t="s">
        <v>82</v>
      </c>
      <c r="D275" s="4">
        <v>1.25</v>
      </c>
      <c r="E275" s="4">
        <v>3</v>
      </c>
      <c r="F275" s="4">
        <f>Sales_data[[#This Row],[Selling Price (PHP)]]-Sales_data[[#This Row],[Base Price (PHP)]]</f>
        <v>1.75</v>
      </c>
      <c r="G275" s="4">
        <v>6</v>
      </c>
      <c r="H275" s="4">
        <f>Sales_data[[#This Row],[Quantity]]*Sales_data[[#This Row],[Base Price (PHP)]]</f>
        <v>7.5</v>
      </c>
      <c r="I275" s="4">
        <f>Sales_data[[#This Row],[Selling Price (PHP)]]*Sales_data[[#This Row],[Quantity]]</f>
        <v>18</v>
      </c>
      <c r="J275" s="4">
        <f>Sales_data[[#This Row],[Revenue]]*Sales_data[[#This Row],[Quantity]]</f>
        <v>10.5</v>
      </c>
      <c r="K275" s="4" t="s">
        <v>351</v>
      </c>
    </row>
    <row r="276" spans="1:11" x14ac:dyDescent="0.25">
      <c r="A276" s="3">
        <v>45096</v>
      </c>
      <c r="B276" s="1" t="s">
        <v>74</v>
      </c>
      <c r="C276" s="1" t="s">
        <v>78</v>
      </c>
      <c r="D276" s="4">
        <v>13</v>
      </c>
      <c r="E276" s="4">
        <v>18</v>
      </c>
      <c r="F276" s="4">
        <f>Sales_data[[#This Row],[Selling Price (PHP)]]-Sales_data[[#This Row],[Base Price (PHP)]]</f>
        <v>5</v>
      </c>
      <c r="G276" s="4">
        <v>4</v>
      </c>
      <c r="H276" s="4">
        <f>Sales_data[[#This Row],[Quantity]]*Sales_data[[#This Row],[Base Price (PHP)]]</f>
        <v>52</v>
      </c>
      <c r="I276" s="4">
        <f>Sales_data[[#This Row],[Selling Price (PHP)]]*Sales_data[[#This Row],[Quantity]]</f>
        <v>72</v>
      </c>
      <c r="J276" s="4">
        <f>Sales_data[[#This Row],[Revenue]]*Sales_data[[#This Row],[Quantity]]</f>
        <v>20</v>
      </c>
      <c r="K276" s="4" t="s">
        <v>352</v>
      </c>
    </row>
    <row r="277" spans="1:11" x14ac:dyDescent="0.25">
      <c r="A277" s="3">
        <v>45096</v>
      </c>
      <c r="B277" s="1" t="s">
        <v>81</v>
      </c>
      <c r="C277" s="1" t="s">
        <v>85</v>
      </c>
      <c r="D277" s="4">
        <v>2.4500000000000002</v>
      </c>
      <c r="E277" s="4">
        <v>4</v>
      </c>
      <c r="F277" s="4">
        <f>Sales_data[[#This Row],[Selling Price (PHP)]]-Sales_data[[#This Row],[Base Price (PHP)]]</f>
        <v>1.5499999999999998</v>
      </c>
      <c r="G277" s="4">
        <v>3</v>
      </c>
      <c r="H277" s="4">
        <f>Sales_data[[#This Row],[Quantity]]*Sales_data[[#This Row],[Base Price (PHP)]]</f>
        <v>7.3500000000000005</v>
      </c>
      <c r="I277" s="4">
        <f>Sales_data[[#This Row],[Selling Price (PHP)]]*Sales_data[[#This Row],[Quantity]]</f>
        <v>12</v>
      </c>
      <c r="J277" s="4">
        <f>Sales_data[[#This Row],[Revenue]]*Sales_data[[#This Row],[Quantity]]</f>
        <v>4.6499999999999995</v>
      </c>
      <c r="K277" s="4" t="s">
        <v>353</v>
      </c>
    </row>
    <row r="278" spans="1:11" x14ac:dyDescent="0.25">
      <c r="A278" s="3">
        <v>45097</v>
      </c>
      <c r="B278" s="1" t="s">
        <v>18</v>
      </c>
      <c r="C278" s="1" t="s">
        <v>153</v>
      </c>
      <c r="D278" s="4">
        <v>12.5</v>
      </c>
      <c r="E278" s="4">
        <v>18</v>
      </c>
      <c r="F278" s="4">
        <f>Sales_data[[#This Row],[Selling Price (PHP)]]-Sales_data[[#This Row],[Base Price (PHP)]]</f>
        <v>5.5</v>
      </c>
      <c r="G278" s="4">
        <v>4</v>
      </c>
      <c r="H278" s="4">
        <f>Sales_data[[#This Row],[Quantity]]*Sales_data[[#This Row],[Base Price (PHP)]]</f>
        <v>50</v>
      </c>
      <c r="I278" s="4">
        <f>Sales_data[[#This Row],[Selling Price (PHP)]]*Sales_data[[#This Row],[Quantity]]</f>
        <v>72</v>
      </c>
      <c r="J278" s="4">
        <f>Sales_data[[#This Row],[Revenue]]*Sales_data[[#This Row],[Quantity]]</f>
        <v>22</v>
      </c>
      <c r="K278" s="4" t="s">
        <v>354</v>
      </c>
    </row>
    <row r="279" spans="1:11" x14ac:dyDescent="0.25">
      <c r="A279" s="3">
        <v>45097</v>
      </c>
      <c r="B279" s="1" t="s">
        <v>18</v>
      </c>
      <c r="C279" s="1" t="s">
        <v>355</v>
      </c>
      <c r="D279" s="4">
        <v>13.35</v>
      </c>
      <c r="E279" s="4">
        <v>19</v>
      </c>
      <c r="F279" s="4">
        <f>Sales_data[[#This Row],[Selling Price (PHP)]]-Sales_data[[#This Row],[Base Price (PHP)]]</f>
        <v>5.65</v>
      </c>
      <c r="G279" s="4">
        <v>2</v>
      </c>
      <c r="H279" s="4">
        <f>Sales_data[[#This Row],[Quantity]]*Sales_data[[#This Row],[Base Price (PHP)]]</f>
        <v>26.7</v>
      </c>
      <c r="I279" s="4">
        <f>Sales_data[[#This Row],[Selling Price (PHP)]]*Sales_data[[#This Row],[Quantity]]</f>
        <v>38</v>
      </c>
      <c r="J279" s="4">
        <f>Sales_data[[#This Row],[Revenue]]*Sales_data[[#This Row],[Quantity]]</f>
        <v>11.3</v>
      </c>
      <c r="K279" s="4" t="s">
        <v>356</v>
      </c>
    </row>
    <row r="280" spans="1:11" x14ac:dyDescent="0.25">
      <c r="A280" s="3">
        <v>45097</v>
      </c>
      <c r="B280" s="1" t="s">
        <v>18</v>
      </c>
      <c r="C280" s="1" t="s">
        <v>355</v>
      </c>
      <c r="D280" s="4">
        <v>13.35</v>
      </c>
      <c r="E280" s="4">
        <v>19</v>
      </c>
      <c r="F280" s="4">
        <f>Sales_data[[#This Row],[Selling Price (PHP)]]-Sales_data[[#This Row],[Base Price (PHP)]]</f>
        <v>5.65</v>
      </c>
      <c r="G280" s="4">
        <v>2</v>
      </c>
      <c r="H280" s="4">
        <f>Sales_data[[#This Row],[Quantity]]*Sales_data[[#This Row],[Base Price (PHP)]]</f>
        <v>26.7</v>
      </c>
      <c r="I280" s="4">
        <f>Sales_data[[#This Row],[Selling Price (PHP)]]*Sales_data[[#This Row],[Quantity]]</f>
        <v>38</v>
      </c>
      <c r="J280" s="4">
        <f>Sales_data[[#This Row],[Revenue]]*Sales_data[[#This Row],[Quantity]]</f>
        <v>11.3</v>
      </c>
      <c r="K280" s="4" t="s">
        <v>357</v>
      </c>
    </row>
    <row r="281" spans="1:11" x14ac:dyDescent="0.25">
      <c r="A281" s="3">
        <v>45097</v>
      </c>
      <c r="B281" s="1" t="s">
        <v>14</v>
      </c>
      <c r="C281" s="1" t="s">
        <v>164</v>
      </c>
      <c r="D281" s="4">
        <v>15.65</v>
      </c>
      <c r="E281" s="4">
        <v>22</v>
      </c>
      <c r="F281" s="4">
        <f>Sales_data[[#This Row],[Selling Price (PHP)]]-Sales_data[[#This Row],[Base Price (PHP)]]</f>
        <v>6.35</v>
      </c>
      <c r="G281" s="4">
        <v>9</v>
      </c>
      <c r="H281" s="4">
        <f>Sales_data[[#This Row],[Quantity]]*Sales_data[[#This Row],[Base Price (PHP)]]</f>
        <v>140.85</v>
      </c>
      <c r="I281" s="4">
        <f>Sales_data[[#This Row],[Selling Price (PHP)]]*Sales_data[[#This Row],[Quantity]]</f>
        <v>198</v>
      </c>
      <c r="J281" s="4">
        <f>Sales_data[[#This Row],[Revenue]]*Sales_data[[#This Row],[Quantity]]</f>
        <v>57.15</v>
      </c>
      <c r="K281" s="4" t="s">
        <v>358</v>
      </c>
    </row>
    <row r="282" spans="1:11" x14ac:dyDescent="0.25">
      <c r="A282" s="3">
        <v>45098</v>
      </c>
      <c r="B282" s="1" t="s">
        <v>71</v>
      </c>
      <c r="C282" s="1" t="s">
        <v>72</v>
      </c>
      <c r="D282" s="4">
        <v>22</v>
      </c>
      <c r="E282" s="4">
        <v>27</v>
      </c>
      <c r="F282" s="4">
        <f>Sales_data[[#This Row],[Selling Price (PHP)]]-Sales_data[[#This Row],[Base Price (PHP)]]</f>
        <v>5</v>
      </c>
      <c r="G282" s="4">
        <v>10</v>
      </c>
      <c r="H282" s="4">
        <f>Sales_data[[#This Row],[Quantity]]*Sales_data[[#This Row],[Base Price (PHP)]]</f>
        <v>220</v>
      </c>
      <c r="I282" s="4">
        <f>Sales_data[[#This Row],[Selling Price (PHP)]]*Sales_data[[#This Row],[Quantity]]</f>
        <v>270</v>
      </c>
      <c r="J282" s="4">
        <f>Sales_data[[#This Row],[Revenue]]*Sales_data[[#This Row],[Quantity]]</f>
        <v>50</v>
      </c>
      <c r="K282" s="4" t="s">
        <v>359</v>
      </c>
    </row>
    <row r="283" spans="1:11" x14ac:dyDescent="0.25">
      <c r="A283" s="3">
        <v>45098</v>
      </c>
      <c r="B283" s="1" t="s">
        <v>7</v>
      </c>
      <c r="C283" s="1" t="s">
        <v>52</v>
      </c>
      <c r="D283" s="4">
        <v>14.5</v>
      </c>
      <c r="E283" s="4">
        <v>19</v>
      </c>
      <c r="F283" s="4">
        <f>Sales_data[[#This Row],[Selling Price (PHP)]]-Sales_data[[#This Row],[Base Price (PHP)]]</f>
        <v>4.5</v>
      </c>
      <c r="G283" s="4">
        <v>2</v>
      </c>
      <c r="H283" s="4">
        <f>Sales_data[[#This Row],[Quantity]]*Sales_data[[#This Row],[Base Price (PHP)]]</f>
        <v>29</v>
      </c>
      <c r="I283" s="4">
        <f>Sales_data[[#This Row],[Selling Price (PHP)]]*Sales_data[[#This Row],[Quantity]]</f>
        <v>38</v>
      </c>
      <c r="J283" s="4">
        <f>Sales_data[[#This Row],[Revenue]]*Sales_data[[#This Row],[Quantity]]</f>
        <v>9</v>
      </c>
      <c r="K283" s="4" t="s">
        <v>360</v>
      </c>
    </row>
    <row r="284" spans="1:11" x14ac:dyDescent="0.25">
      <c r="A284" s="3">
        <v>45099</v>
      </c>
      <c r="B284" s="1" t="s">
        <v>30</v>
      </c>
      <c r="C284" s="1" t="s">
        <v>125</v>
      </c>
      <c r="D284" s="4">
        <v>12.33</v>
      </c>
      <c r="E284" s="4">
        <v>17</v>
      </c>
      <c r="F284" s="4">
        <f>Sales_data[[#This Row],[Selling Price (PHP)]]-Sales_data[[#This Row],[Base Price (PHP)]]</f>
        <v>4.67</v>
      </c>
      <c r="G284" s="4">
        <v>1</v>
      </c>
      <c r="H284" s="4">
        <f>Sales_data[[#This Row],[Quantity]]*Sales_data[[#This Row],[Base Price (PHP)]]</f>
        <v>12.33</v>
      </c>
      <c r="I284" s="4">
        <f>Sales_data[[#This Row],[Selling Price (PHP)]]*Sales_data[[#This Row],[Quantity]]</f>
        <v>17</v>
      </c>
      <c r="J284" s="4">
        <f>Sales_data[[#This Row],[Revenue]]*Sales_data[[#This Row],[Quantity]]</f>
        <v>4.67</v>
      </c>
      <c r="K284" s="4" t="s">
        <v>361</v>
      </c>
    </row>
    <row r="285" spans="1:11" x14ac:dyDescent="0.25">
      <c r="A285" s="3">
        <v>45099</v>
      </c>
      <c r="B285" s="1" t="s">
        <v>7</v>
      </c>
      <c r="C285" s="1" t="s">
        <v>320</v>
      </c>
      <c r="D285" s="4">
        <v>32</v>
      </c>
      <c r="E285" s="4">
        <v>37</v>
      </c>
      <c r="F285" s="4">
        <f>Sales_data[[#This Row],[Selling Price (PHP)]]-Sales_data[[#This Row],[Base Price (PHP)]]</f>
        <v>5</v>
      </c>
      <c r="G285" s="4">
        <v>2</v>
      </c>
      <c r="H285" s="4">
        <f>Sales_data[[#This Row],[Quantity]]*Sales_data[[#This Row],[Base Price (PHP)]]</f>
        <v>64</v>
      </c>
      <c r="I285" s="4">
        <f>Sales_data[[#This Row],[Selling Price (PHP)]]*Sales_data[[#This Row],[Quantity]]</f>
        <v>74</v>
      </c>
      <c r="J285" s="4">
        <f>Sales_data[[#This Row],[Revenue]]*Sales_data[[#This Row],[Quantity]]</f>
        <v>10</v>
      </c>
      <c r="K285" s="4" t="s">
        <v>362</v>
      </c>
    </row>
    <row r="286" spans="1:11" x14ac:dyDescent="0.25">
      <c r="A286" s="3">
        <v>45100</v>
      </c>
      <c r="B286" s="1" t="s">
        <v>24</v>
      </c>
      <c r="C286" s="1" t="s">
        <v>109</v>
      </c>
      <c r="D286" s="4">
        <v>10.5</v>
      </c>
      <c r="E286" s="4">
        <v>15</v>
      </c>
      <c r="F286" s="4">
        <f>Sales_data[[#This Row],[Selling Price (PHP)]]-Sales_data[[#This Row],[Base Price (PHP)]]</f>
        <v>4.5</v>
      </c>
      <c r="G286" s="4">
        <v>2</v>
      </c>
      <c r="H286" s="4">
        <f>Sales_data[[#This Row],[Quantity]]*Sales_data[[#This Row],[Base Price (PHP)]]</f>
        <v>21</v>
      </c>
      <c r="I286" s="4">
        <f>Sales_data[[#This Row],[Selling Price (PHP)]]*Sales_data[[#This Row],[Quantity]]</f>
        <v>30</v>
      </c>
      <c r="J286" s="4">
        <f>Sales_data[[#This Row],[Revenue]]*Sales_data[[#This Row],[Quantity]]</f>
        <v>9</v>
      </c>
      <c r="K286" s="4" t="s">
        <v>363</v>
      </c>
    </row>
    <row r="287" spans="1:11" x14ac:dyDescent="0.25">
      <c r="A287" s="3">
        <v>45100</v>
      </c>
      <c r="B287" s="1" t="s">
        <v>24</v>
      </c>
      <c r="C287" s="1" t="s">
        <v>109</v>
      </c>
      <c r="D287" s="4">
        <v>10.5</v>
      </c>
      <c r="E287" s="4">
        <v>15</v>
      </c>
      <c r="F287" s="4">
        <f>Sales_data[[#This Row],[Selling Price (PHP)]]-Sales_data[[#This Row],[Base Price (PHP)]]</f>
        <v>4.5</v>
      </c>
      <c r="G287" s="4">
        <v>6</v>
      </c>
      <c r="H287" s="4">
        <f>Sales_data[[#This Row],[Quantity]]*Sales_data[[#This Row],[Base Price (PHP)]]</f>
        <v>63</v>
      </c>
      <c r="I287" s="4">
        <f>Sales_data[[#This Row],[Selling Price (PHP)]]*Sales_data[[#This Row],[Quantity]]</f>
        <v>90</v>
      </c>
      <c r="J287" s="4">
        <f>Sales_data[[#This Row],[Revenue]]*Sales_data[[#This Row],[Quantity]]</f>
        <v>27</v>
      </c>
      <c r="K287" s="4" t="s">
        <v>364</v>
      </c>
    </row>
    <row r="288" spans="1:11" x14ac:dyDescent="0.25">
      <c r="A288" s="3">
        <v>45101</v>
      </c>
      <c r="B288" s="1" t="s">
        <v>7</v>
      </c>
      <c r="C288" s="1" t="s">
        <v>39</v>
      </c>
      <c r="D288" s="4">
        <v>7.83</v>
      </c>
      <c r="E288" s="4">
        <v>12</v>
      </c>
      <c r="F288" s="4">
        <f>Sales_data[[#This Row],[Selling Price (PHP)]]-Sales_data[[#This Row],[Base Price (PHP)]]</f>
        <v>4.17</v>
      </c>
      <c r="G288" s="4">
        <v>8</v>
      </c>
      <c r="H288" s="4">
        <f>Sales_data[[#This Row],[Quantity]]*Sales_data[[#This Row],[Base Price (PHP)]]</f>
        <v>62.64</v>
      </c>
      <c r="I288" s="4">
        <f>Sales_data[[#This Row],[Selling Price (PHP)]]*Sales_data[[#This Row],[Quantity]]</f>
        <v>96</v>
      </c>
      <c r="J288" s="4">
        <f>Sales_data[[#This Row],[Revenue]]*Sales_data[[#This Row],[Quantity]]</f>
        <v>33.36</v>
      </c>
      <c r="K288" s="4" t="s">
        <v>365</v>
      </c>
    </row>
    <row r="289" spans="1:11" x14ac:dyDescent="0.25">
      <c r="A289" s="3">
        <v>45101</v>
      </c>
      <c r="B289" s="1" t="s">
        <v>7</v>
      </c>
      <c r="C289" s="1" t="s">
        <v>52</v>
      </c>
      <c r="D289" s="4">
        <v>14.5</v>
      </c>
      <c r="E289" s="4">
        <v>19</v>
      </c>
      <c r="F289" s="4">
        <f>Sales_data[[#This Row],[Selling Price (PHP)]]-Sales_data[[#This Row],[Base Price (PHP)]]</f>
        <v>4.5</v>
      </c>
      <c r="G289" s="4">
        <v>8</v>
      </c>
      <c r="H289" s="4">
        <f>Sales_data[[#This Row],[Quantity]]*Sales_data[[#This Row],[Base Price (PHP)]]</f>
        <v>116</v>
      </c>
      <c r="I289" s="4">
        <f>Sales_data[[#This Row],[Selling Price (PHP)]]*Sales_data[[#This Row],[Quantity]]</f>
        <v>152</v>
      </c>
      <c r="J289" s="4">
        <f>Sales_data[[#This Row],[Revenue]]*Sales_data[[#This Row],[Quantity]]</f>
        <v>36</v>
      </c>
      <c r="K289" s="4" t="s">
        <v>366</v>
      </c>
    </row>
    <row r="290" spans="1:11" x14ac:dyDescent="0.25">
      <c r="A290" s="3">
        <v>45101</v>
      </c>
      <c r="B290" s="1" t="s">
        <v>7</v>
      </c>
      <c r="C290" s="1" t="s">
        <v>52</v>
      </c>
      <c r="D290" s="4">
        <v>14.5</v>
      </c>
      <c r="E290" s="4">
        <v>19</v>
      </c>
      <c r="F290" s="4">
        <f>Sales_data[[#This Row],[Selling Price (PHP)]]-Sales_data[[#This Row],[Base Price (PHP)]]</f>
        <v>4.5</v>
      </c>
      <c r="G290" s="4">
        <v>3</v>
      </c>
      <c r="H290" s="4">
        <f>Sales_data[[#This Row],[Quantity]]*Sales_data[[#This Row],[Base Price (PHP)]]</f>
        <v>43.5</v>
      </c>
      <c r="I290" s="4">
        <f>Sales_data[[#This Row],[Selling Price (PHP)]]*Sales_data[[#This Row],[Quantity]]</f>
        <v>57</v>
      </c>
      <c r="J290" s="4">
        <f>Sales_data[[#This Row],[Revenue]]*Sales_data[[#This Row],[Quantity]]</f>
        <v>13.5</v>
      </c>
      <c r="K290" s="4" t="s">
        <v>367</v>
      </c>
    </row>
    <row r="291" spans="1:11" x14ac:dyDescent="0.25">
      <c r="A291" s="3">
        <v>45101</v>
      </c>
      <c r="B291" s="1" t="s">
        <v>7</v>
      </c>
      <c r="C291" s="1" t="s">
        <v>52</v>
      </c>
      <c r="D291" s="4">
        <v>14.5</v>
      </c>
      <c r="E291" s="4">
        <v>19</v>
      </c>
      <c r="F291" s="4">
        <f>Sales_data[[#This Row],[Selling Price (PHP)]]-Sales_data[[#This Row],[Base Price (PHP)]]</f>
        <v>4.5</v>
      </c>
      <c r="G291" s="4">
        <v>6</v>
      </c>
      <c r="H291" s="4">
        <f>Sales_data[[#This Row],[Quantity]]*Sales_data[[#This Row],[Base Price (PHP)]]</f>
        <v>87</v>
      </c>
      <c r="I291" s="4">
        <f>Sales_data[[#This Row],[Selling Price (PHP)]]*Sales_data[[#This Row],[Quantity]]</f>
        <v>114</v>
      </c>
      <c r="J291" s="4">
        <f>Sales_data[[#This Row],[Revenue]]*Sales_data[[#This Row],[Quantity]]</f>
        <v>27</v>
      </c>
      <c r="K291" s="4" t="s">
        <v>368</v>
      </c>
    </row>
    <row r="292" spans="1:11" x14ac:dyDescent="0.25">
      <c r="A292" s="3">
        <v>45102</v>
      </c>
      <c r="B292" s="1" t="s">
        <v>91</v>
      </c>
      <c r="C292" s="1" t="s">
        <v>207</v>
      </c>
      <c r="D292" s="4">
        <v>22.25</v>
      </c>
      <c r="E292" s="4">
        <v>30</v>
      </c>
      <c r="F292" s="4">
        <f>Sales_data[[#This Row],[Selling Price (PHP)]]-Sales_data[[#This Row],[Base Price (PHP)]]</f>
        <v>7.75</v>
      </c>
      <c r="G292" s="4">
        <v>8</v>
      </c>
      <c r="H292" s="4">
        <f>Sales_data[[#This Row],[Quantity]]*Sales_data[[#This Row],[Base Price (PHP)]]</f>
        <v>178</v>
      </c>
      <c r="I292" s="4">
        <f>Sales_data[[#This Row],[Selling Price (PHP)]]*Sales_data[[#This Row],[Quantity]]</f>
        <v>240</v>
      </c>
      <c r="J292" s="4">
        <f>Sales_data[[#This Row],[Revenue]]*Sales_data[[#This Row],[Quantity]]</f>
        <v>62</v>
      </c>
      <c r="K292" s="4" t="s">
        <v>369</v>
      </c>
    </row>
    <row r="293" spans="1:11" x14ac:dyDescent="0.25">
      <c r="A293" s="3">
        <v>45102</v>
      </c>
      <c r="B293" s="1" t="s">
        <v>10</v>
      </c>
      <c r="C293" s="1" t="s">
        <v>43</v>
      </c>
      <c r="D293" s="4">
        <v>43.5</v>
      </c>
      <c r="E293" s="4">
        <v>55</v>
      </c>
      <c r="F293" s="4">
        <f>Sales_data[[#This Row],[Selling Price (PHP)]]-Sales_data[[#This Row],[Base Price (PHP)]]</f>
        <v>11.5</v>
      </c>
      <c r="G293" s="4">
        <v>2</v>
      </c>
      <c r="H293" s="4">
        <f>Sales_data[[#This Row],[Quantity]]*Sales_data[[#This Row],[Base Price (PHP)]]</f>
        <v>87</v>
      </c>
      <c r="I293" s="4">
        <f>Sales_data[[#This Row],[Selling Price (PHP)]]*Sales_data[[#This Row],[Quantity]]</f>
        <v>110</v>
      </c>
      <c r="J293" s="4">
        <f>Sales_data[[#This Row],[Revenue]]*Sales_data[[#This Row],[Quantity]]</f>
        <v>23</v>
      </c>
      <c r="K293" s="4" t="s">
        <v>370</v>
      </c>
    </row>
    <row r="294" spans="1:11" x14ac:dyDescent="0.25">
      <c r="A294" s="3">
        <v>45103</v>
      </c>
      <c r="B294" s="1" t="s">
        <v>91</v>
      </c>
      <c r="C294" s="1" t="s">
        <v>207</v>
      </c>
      <c r="D294" s="4">
        <v>22.25</v>
      </c>
      <c r="E294" s="4">
        <v>30</v>
      </c>
      <c r="F294" s="4">
        <f>Sales_data[[#This Row],[Selling Price (PHP)]]-Sales_data[[#This Row],[Base Price (PHP)]]</f>
        <v>7.75</v>
      </c>
      <c r="G294" s="4">
        <v>7</v>
      </c>
      <c r="H294" s="4">
        <f>Sales_data[[#This Row],[Quantity]]*Sales_data[[#This Row],[Base Price (PHP)]]</f>
        <v>155.75</v>
      </c>
      <c r="I294" s="4">
        <f>Sales_data[[#This Row],[Selling Price (PHP)]]*Sales_data[[#This Row],[Quantity]]</f>
        <v>210</v>
      </c>
      <c r="J294" s="4">
        <f>Sales_data[[#This Row],[Revenue]]*Sales_data[[#This Row],[Quantity]]</f>
        <v>54.25</v>
      </c>
      <c r="K294" s="4" t="s">
        <v>371</v>
      </c>
    </row>
    <row r="295" spans="1:11" x14ac:dyDescent="0.25">
      <c r="A295" s="3">
        <v>45103</v>
      </c>
      <c r="B295" s="1" t="s">
        <v>21</v>
      </c>
      <c r="C295" s="1" t="s">
        <v>112</v>
      </c>
      <c r="D295" s="4">
        <v>12.5</v>
      </c>
      <c r="E295" s="4">
        <v>16</v>
      </c>
      <c r="F295" s="4">
        <f>Sales_data[[#This Row],[Selling Price (PHP)]]-Sales_data[[#This Row],[Base Price (PHP)]]</f>
        <v>3.5</v>
      </c>
      <c r="G295" s="4">
        <v>6</v>
      </c>
      <c r="H295" s="4">
        <f>Sales_data[[#This Row],[Quantity]]*Sales_data[[#This Row],[Base Price (PHP)]]</f>
        <v>75</v>
      </c>
      <c r="I295" s="4">
        <f>Sales_data[[#This Row],[Selling Price (PHP)]]*Sales_data[[#This Row],[Quantity]]</f>
        <v>96</v>
      </c>
      <c r="J295" s="4">
        <f>Sales_data[[#This Row],[Revenue]]*Sales_data[[#This Row],[Quantity]]</f>
        <v>21</v>
      </c>
      <c r="K295" s="4" t="s">
        <v>372</v>
      </c>
    </row>
    <row r="296" spans="1:11" x14ac:dyDescent="0.25">
      <c r="A296" s="3">
        <v>45104</v>
      </c>
      <c r="B296" s="1" t="s">
        <v>91</v>
      </c>
      <c r="C296" s="1" t="s">
        <v>207</v>
      </c>
      <c r="D296" s="4">
        <v>22.25</v>
      </c>
      <c r="E296" s="4">
        <v>30</v>
      </c>
      <c r="F296" s="4">
        <f>Sales_data[[#This Row],[Selling Price (PHP)]]-Sales_data[[#This Row],[Base Price (PHP)]]</f>
        <v>7.75</v>
      </c>
      <c r="G296" s="4">
        <v>9</v>
      </c>
      <c r="H296" s="4">
        <f>Sales_data[[#This Row],[Quantity]]*Sales_data[[#This Row],[Base Price (PHP)]]</f>
        <v>200.25</v>
      </c>
      <c r="I296" s="4">
        <f>Sales_data[[#This Row],[Selling Price (PHP)]]*Sales_data[[#This Row],[Quantity]]</f>
        <v>270</v>
      </c>
      <c r="J296" s="4">
        <f>Sales_data[[#This Row],[Revenue]]*Sales_data[[#This Row],[Quantity]]</f>
        <v>69.75</v>
      </c>
      <c r="K296" s="4" t="s">
        <v>373</v>
      </c>
    </row>
    <row r="297" spans="1:11" x14ac:dyDescent="0.25">
      <c r="A297" s="3">
        <v>45104</v>
      </c>
      <c r="B297" s="1" t="s">
        <v>7</v>
      </c>
      <c r="C297" s="1" t="s">
        <v>141</v>
      </c>
      <c r="D297" s="4">
        <v>12.29</v>
      </c>
      <c r="E297" s="4">
        <v>17</v>
      </c>
      <c r="F297" s="4">
        <f>Sales_data[[#This Row],[Selling Price (PHP)]]-Sales_data[[#This Row],[Base Price (PHP)]]</f>
        <v>4.7100000000000009</v>
      </c>
      <c r="G297" s="4">
        <v>9</v>
      </c>
      <c r="H297" s="4">
        <f>Sales_data[[#This Row],[Quantity]]*Sales_data[[#This Row],[Base Price (PHP)]]</f>
        <v>110.60999999999999</v>
      </c>
      <c r="I297" s="4">
        <f>Sales_data[[#This Row],[Selling Price (PHP)]]*Sales_data[[#This Row],[Quantity]]</f>
        <v>153</v>
      </c>
      <c r="J297" s="4">
        <f>Sales_data[[#This Row],[Revenue]]*Sales_data[[#This Row],[Quantity]]</f>
        <v>42.390000000000008</v>
      </c>
      <c r="K297" s="4" t="s">
        <v>374</v>
      </c>
    </row>
    <row r="298" spans="1:11" x14ac:dyDescent="0.25">
      <c r="A298" s="3">
        <v>45104</v>
      </c>
      <c r="B298" s="1" t="s">
        <v>7</v>
      </c>
      <c r="C298" s="1" t="s">
        <v>52</v>
      </c>
      <c r="D298" s="4">
        <v>14.5</v>
      </c>
      <c r="E298" s="4">
        <v>19</v>
      </c>
      <c r="F298" s="4">
        <f>Sales_data[[#This Row],[Selling Price (PHP)]]-Sales_data[[#This Row],[Base Price (PHP)]]</f>
        <v>4.5</v>
      </c>
      <c r="G298" s="4">
        <v>7</v>
      </c>
      <c r="H298" s="4">
        <f>Sales_data[[#This Row],[Quantity]]*Sales_data[[#This Row],[Base Price (PHP)]]</f>
        <v>101.5</v>
      </c>
      <c r="I298" s="4">
        <f>Sales_data[[#This Row],[Selling Price (PHP)]]*Sales_data[[#This Row],[Quantity]]</f>
        <v>133</v>
      </c>
      <c r="J298" s="4">
        <f>Sales_data[[#This Row],[Revenue]]*Sales_data[[#This Row],[Quantity]]</f>
        <v>31.5</v>
      </c>
      <c r="K298" s="4" t="s">
        <v>375</v>
      </c>
    </row>
    <row r="299" spans="1:11" x14ac:dyDescent="0.25">
      <c r="A299" s="3">
        <v>45105</v>
      </c>
      <c r="B299" s="1" t="s">
        <v>30</v>
      </c>
      <c r="C299" s="1" t="s">
        <v>105</v>
      </c>
      <c r="D299" s="4">
        <v>19.829999999999998</v>
      </c>
      <c r="E299" s="4">
        <v>24</v>
      </c>
      <c r="F299" s="4">
        <f>Sales_data[[#This Row],[Selling Price (PHP)]]-Sales_data[[#This Row],[Base Price (PHP)]]</f>
        <v>4.1700000000000017</v>
      </c>
      <c r="G299" s="4">
        <v>7</v>
      </c>
      <c r="H299" s="4">
        <f>Sales_data[[#This Row],[Quantity]]*Sales_data[[#This Row],[Base Price (PHP)]]</f>
        <v>138.81</v>
      </c>
      <c r="I299" s="4">
        <f>Sales_data[[#This Row],[Selling Price (PHP)]]*Sales_data[[#This Row],[Quantity]]</f>
        <v>168</v>
      </c>
      <c r="J299" s="4">
        <f>Sales_data[[#This Row],[Revenue]]*Sales_data[[#This Row],[Quantity]]</f>
        <v>29.190000000000012</v>
      </c>
      <c r="K299" s="4" t="s">
        <v>376</v>
      </c>
    </row>
    <row r="300" spans="1:11" x14ac:dyDescent="0.25">
      <c r="A300" s="3">
        <v>45105</v>
      </c>
      <c r="B300" s="1" t="s">
        <v>48</v>
      </c>
      <c r="C300" s="1" t="s">
        <v>150</v>
      </c>
      <c r="D300" s="4">
        <v>39</v>
      </c>
      <c r="E300" s="4">
        <v>45</v>
      </c>
      <c r="F300" s="4">
        <f>Sales_data[[#This Row],[Selling Price (PHP)]]-Sales_data[[#This Row],[Base Price (PHP)]]</f>
        <v>6</v>
      </c>
      <c r="G300" s="4">
        <v>6</v>
      </c>
      <c r="H300" s="4">
        <f>Sales_data[[#This Row],[Quantity]]*Sales_data[[#This Row],[Base Price (PHP)]]</f>
        <v>234</v>
      </c>
      <c r="I300" s="4">
        <f>Sales_data[[#This Row],[Selling Price (PHP)]]*Sales_data[[#This Row],[Quantity]]</f>
        <v>270</v>
      </c>
      <c r="J300" s="4">
        <f>Sales_data[[#This Row],[Revenue]]*Sales_data[[#This Row],[Quantity]]</f>
        <v>36</v>
      </c>
      <c r="K300" s="4" t="s">
        <v>377</v>
      </c>
    </row>
    <row r="301" spans="1:11" x14ac:dyDescent="0.25">
      <c r="A301" s="3">
        <v>45105</v>
      </c>
      <c r="B301" s="1" t="s">
        <v>48</v>
      </c>
      <c r="C301" s="1" t="s">
        <v>150</v>
      </c>
      <c r="D301" s="4">
        <v>39</v>
      </c>
      <c r="E301" s="4">
        <v>45</v>
      </c>
      <c r="F301" s="4">
        <f>Sales_data[[#This Row],[Selling Price (PHP)]]-Sales_data[[#This Row],[Base Price (PHP)]]</f>
        <v>6</v>
      </c>
      <c r="G301" s="4">
        <v>8</v>
      </c>
      <c r="H301" s="4">
        <f>Sales_data[[#This Row],[Quantity]]*Sales_data[[#This Row],[Base Price (PHP)]]</f>
        <v>312</v>
      </c>
      <c r="I301" s="4">
        <f>Sales_data[[#This Row],[Selling Price (PHP)]]*Sales_data[[#This Row],[Quantity]]</f>
        <v>360</v>
      </c>
      <c r="J301" s="4">
        <f>Sales_data[[#This Row],[Revenue]]*Sales_data[[#This Row],[Quantity]]</f>
        <v>48</v>
      </c>
      <c r="K301" s="4" t="s">
        <v>378</v>
      </c>
    </row>
    <row r="302" spans="1:11" x14ac:dyDescent="0.25">
      <c r="A302" s="3">
        <v>45105</v>
      </c>
      <c r="B302" s="1" t="s">
        <v>45</v>
      </c>
      <c r="C302" s="1" t="s">
        <v>283</v>
      </c>
      <c r="D302" s="4">
        <v>22.5</v>
      </c>
      <c r="E302" s="4">
        <v>28</v>
      </c>
      <c r="F302" s="4">
        <f>Sales_data[[#This Row],[Selling Price (PHP)]]-Sales_data[[#This Row],[Base Price (PHP)]]</f>
        <v>5.5</v>
      </c>
      <c r="G302" s="4">
        <v>7</v>
      </c>
      <c r="H302" s="4">
        <f>Sales_data[[#This Row],[Quantity]]*Sales_data[[#This Row],[Base Price (PHP)]]</f>
        <v>157.5</v>
      </c>
      <c r="I302" s="4">
        <f>Sales_data[[#This Row],[Selling Price (PHP)]]*Sales_data[[#This Row],[Quantity]]</f>
        <v>196</v>
      </c>
      <c r="J302" s="4">
        <f>Sales_data[[#This Row],[Revenue]]*Sales_data[[#This Row],[Quantity]]</f>
        <v>38.5</v>
      </c>
      <c r="K302" s="4" t="s">
        <v>379</v>
      </c>
    </row>
    <row r="303" spans="1:11" x14ac:dyDescent="0.25">
      <c r="A303" s="3">
        <v>45105</v>
      </c>
      <c r="B303" s="1" t="s">
        <v>7</v>
      </c>
      <c r="C303" s="1" t="s">
        <v>320</v>
      </c>
      <c r="D303" s="4">
        <v>32</v>
      </c>
      <c r="E303" s="4">
        <v>37</v>
      </c>
      <c r="F303" s="4">
        <f>Sales_data[[#This Row],[Selling Price (PHP)]]-Sales_data[[#This Row],[Base Price (PHP)]]</f>
        <v>5</v>
      </c>
      <c r="G303" s="4">
        <v>6</v>
      </c>
      <c r="H303" s="4">
        <f>Sales_data[[#This Row],[Quantity]]*Sales_data[[#This Row],[Base Price (PHP)]]</f>
        <v>192</v>
      </c>
      <c r="I303" s="4">
        <f>Sales_data[[#This Row],[Selling Price (PHP)]]*Sales_data[[#This Row],[Quantity]]</f>
        <v>222</v>
      </c>
      <c r="J303" s="4">
        <f>Sales_data[[#This Row],[Revenue]]*Sales_data[[#This Row],[Quantity]]</f>
        <v>30</v>
      </c>
      <c r="K303" s="4" t="s">
        <v>380</v>
      </c>
    </row>
    <row r="304" spans="1:11" x14ac:dyDescent="0.25">
      <c r="A304" s="3">
        <v>45105</v>
      </c>
      <c r="B304" s="1" t="s">
        <v>7</v>
      </c>
      <c r="C304" s="1" t="s">
        <v>320</v>
      </c>
      <c r="D304" s="4">
        <v>32</v>
      </c>
      <c r="E304" s="4">
        <v>37</v>
      </c>
      <c r="F304" s="4">
        <f>Sales_data[[#This Row],[Selling Price (PHP)]]-Sales_data[[#This Row],[Base Price (PHP)]]</f>
        <v>5</v>
      </c>
      <c r="G304" s="4">
        <v>9</v>
      </c>
      <c r="H304" s="4">
        <f>Sales_data[[#This Row],[Quantity]]*Sales_data[[#This Row],[Base Price (PHP)]]</f>
        <v>288</v>
      </c>
      <c r="I304" s="4">
        <f>Sales_data[[#This Row],[Selling Price (PHP)]]*Sales_data[[#This Row],[Quantity]]</f>
        <v>333</v>
      </c>
      <c r="J304" s="4">
        <f>Sales_data[[#This Row],[Revenue]]*Sales_data[[#This Row],[Quantity]]</f>
        <v>45</v>
      </c>
      <c r="K304" s="4" t="s">
        <v>381</v>
      </c>
    </row>
    <row r="305" spans="1:11" x14ac:dyDescent="0.25">
      <c r="A305" s="3">
        <v>45107</v>
      </c>
      <c r="B305" s="1" t="s">
        <v>18</v>
      </c>
      <c r="C305" s="1" t="s">
        <v>355</v>
      </c>
      <c r="D305" s="4">
        <v>13.35</v>
      </c>
      <c r="E305" s="4">
        <v>19</v>
      </c>
      <c r="F305" s="4">
        <f>Sales_data[[#This Row],[Selling Price (PHP)]]-Sales_data[[#This Row],[Base Price (PHP)]]</f>
        <v>5.65</v>
      </c>
      <c r="G305" s="4">
        <v>7</v>
      </c>
      <c r="H305" s="4">
        <f>Sales_data[[#This Row],[Quantity]]*Sales_data[[#This Row],[Base Price (PHP)]]</f>
        <v>93.45</v>
      </c>
      <c r="I305" s="4">
        <f>Sales_data[[#This Row],[Selling Price (PHP)]]*Sales_data[[#This Row],[Quantity]]</f>
        <v>133</v>
      </c>
      <c r="J305" s="4">
        <f>Sales_data[[#This Row],[Revenue]]*Sales_data[[#This Row],[Quantity]]</f>
        <v>39.550000000000004</v>
      </c>
      <c r="K305" s="4" t="s">
        <v>382</v>
      </c>
    </row>
    <row r="306" spans="1:11" x14ac:dyDescent="0.25">
      <c r="A306" s="3">
        <v>45107</v>
      </c>
      <c r="B306" s="1" t="s">
        <v>14</v>
      </c>
      <c r="C306" s="1" t="s">
        <v>233</v>
      </c>
      <c r="D306" s="4">
        <v>10.75</v>
      </c>
      <c r="E306" s="4">
        <v>14</v>
      </c>
      <c r="F306" s="4">
        <f>Sales_data[[#This Row],[Selling Price (PHP)]]-Sales_data[[#This Row],[Base Price (PHP)]]</f>
        <v>3.25</v>
      </c>
      <c r="G306" s="4">
        <v>7</v>
      </c>
      <c r="H306" s="4">
        <f>Sales_data[[#This Row],[Quantity]]*Sales_data[[#This Row],[Base Price (PHP)]]</f>
        <v>75.25</v>
      </c>
      <c r="I306" s="4">
        <f>Sales_data[[#This Row],[Selling Price (PHP)]]*Sales_data[[#This Row],[Quantity]]</f>
        <v>98</v>
      </c>
      <c r="J306" s="4">
        <f>Sales_data[[#This Row],[Revenue]]*Sales_data[[#This Row],[Quantity]]</f>
        <v>22.75</v>
      </c>
      <c r="K306" s="4" t="s">
        <v>383</v>
      </c>
    </row>
    <row r="307" spans="1:11" x14ac:dyDescent="0.25">
      <c r="A307" s="3">
        <v>45107</v>
      </c>
      <c r="B307" s="1" t="s">
        <v>14</v>
      </c>
      <c r="C307" s="1" t="s">
        <v>233</v>
      </c>
      <c r="D307" s="4">
        <v>10.75</v>
      </c>
      <c r="E307" s="4">
        <v>14</v>
      </c>
      <c r="F307" s="4">
        <f>Sales_data[[#This Row],[Selling Price (PHP)]]-Sales_data[[#This Row],[Base Price (PHP)]]</f>
        <v>3.25</v>
      </c>
      <c r="G307" s="4">
        <v>6</v>
      </c>
      <c r="H307" s="4">
        <f>Sales_data[[#This Row],[Quantity]]*Sales_data[[#This Row],[Base Price (PHP)]]</f>
        <v>64.5</v>
      </c>
      <c r="I307" s="4">
        <f>Sales_data[[#This Row],[Selling Price (PHP)]]*Sales_data[[#This Row],[Quantity]]</f>
        <v>84</v>
      </c>
      <c r="J307" s="4">
        <f>Sales_data[[#This Row],[Revenue]]*Sales_data[[#This Row],[Quantity]]</f>
        <v>19.5</v>
      </c>
      <c r="K307" s="4" t="s">
        <v>384</v>
      </c>
    </row>
    <row r="308" spans="1:11" x14ac:dyDescent="0.25">
      <c r="A308" s="3">
        <v>45108</v>
      </c>
      <c r="B308" s="1" t="s">
        <v>48</v>
      </c>
      <c r="C308" s="1" t="s">
        <v>49</v>
      </c>
      <c r="D308" s="4">
        <v>38.72</v>
      </c>
      <c r="E308" s="4">
        <v>43</v>
      </c>
      <c r="F308" s="4">
        <f>Sales_data[[#This Row],[Selling Price (PHP)]]-Sales_data[[#This Row],[Base Price (PHP)]]</f>
        <v>4.2800000000000011</v>
      </c>
      <c r="G308" s="4">
        <v>3</v>
      </c>
      <c r="H308" s="4">
        <f>Sales_data[[#This Row],[Quantity]]*Sales_data[[#This Row],[Base Price (PHP)]]</f>
        <v>116.16</v>
      </c>
      <c r="I308" s="4">
        <f>Sales_data[[#This Row],[Selling Price (PHP)]]*Sales_data[[#This Row],[Quantity]]</f>
        <v>129</v>
      </c>
      <c r="J308" s="4">
        <f>Sales_data[[#This Row],[Revenue]]*Sales_data[[#This Row],[Quantity]]</f>
        <v>12.840000000000003</v>
      </c>
      <c r="K308" s="4" t="s">
        <v>385</v>
      </c>
    </row>
    <row r="309" spans="1:11" x14ac:dyDescent="0.25">
      <c r="A309" s="3">
        <v>45109</v>
      </c>
      <c r="B309" s="1" t="s">
        <v>18</v>
      </c>
      <c r="C309" s="1" t="s">
        <v>355</v>
      </c>
      <c r="D309" s="4">
        <v>13.35</v>
      </c>
      <c r="E309" s="4">
        <v>19</v>
      </c>
      <c r="F309" s="4">
        <f>Sales_data[[#This Row],[Selling Price (PHP)]]-Sales_data[[#This Row],[Base Price (PHP)]]</f>
        <v>5.65</v>
      </c>
      <c r="G309" s="4">
        <v>1</v>
      </c>
      <c r="H309" s="4">
        <f>Sales_data[[#This Row],[Quantity]]*Sales_data[[#This Row],[Base Price (PHP)]]</f>
        <v>13.35</v>
      </c>
      <c r="I309" s="4">
        <f>Sales_data[[#This Row],[Selling Price (PHP)]]*Sales_data[[#This Row],[Quantity]]</f>
        <v>19</v>
      </c>
      <c r="J309" s="4">
        <f>Sales_data[[#This Row],[Revenue]]*Sales_data[[#This Row],[Quantity]]</f>
        <v>5.65</v>
      </c>
      <c r="K309" s="4" t="s">
        <v>386</v>
      </c>
    </row>
    <row r="310" spans="1:11" x14ac:dyDescent="0.25">
      <c r="A310" s="3">
        <v>45109</v>
      </c>
      <c r="B310" s="1" t="s">
        <v>10</v>
      </c>
      <c r="C310" s="1" t="s">
        <v>137</v>
      </c>
      <c r="D310" s="4">
        <v>12.5</v>
      </c>
      <c r="E310" s="4">
        <v>17</v>
      </c>
      <c r="F310" s="4">
        <f>Sales_data[[#This Row],[Selling Price (PHP)]]-Sales_data[[#This Row],[Base Price (PHP)]]</f>
        <v>4.5</v>
      </c>
      <c r="G310" s="4">
        <v>2</v>
      </c>
      <c r="H310" s="4">
        <f>Sales_data[[#This Row],[Quantity]]*Sales_data[[#This Row],[Base Price (PHP)]]</f>
        <v>25</v>
      </c>
      <c r="I310" s="4">
        <f>Sales_data[[#This Row],[Selling Price (PHP)]]*Sales_data[[#This Row],[Quantity]]</f>
        <v>34</v>
      </c>
      <c r="J310" s="4">
        <f>Sales_data[[#This Row],[Revenue]]*Sales_data[[#This Row],[Quantity]]</f>
        <v>9</v>
      </c>
      <c r="K310" s="4" t="s">
        <v>387</v>
      </c>
    </row>
    <row r="311" spans="1:11" x14ac:dyDescent="0.25">
      <c r="A311" s="3">
        <v>45110</v>
      </c>
      <c r="B311" s="1" t="s">
        <v>30</v>
      </c>
      <c r="C311" s="1" t="s">
        <v>119</v>
      </c>
      <c r="D311" s="4">
        <v>14</v>
      </c>
      <c r="E311" s="4">
        <v>19</v>
      </c>
      <c r="F311" s="4">
        <f>Sales_data[[#This Row],[Selling Price (PHP)]]-Sales_data[[#This Row],[Base Price (PHP)]]</f>
        <v>5</v>
      </c>
      <c r="G311" s="4">
        <v>8</v>
      </c>
      <c r="H311" s="4">
        <f>Sales_data[[#This Row],[Quantity]]*Sales_data[[#This Row],[Base Price (PHP)]]</f>
        <v>112</v>
      </c>
      <c r="I311" s="4">
        <f>Sales_data[[#This Row],[Selling Price (PHP)]]*Sales_data[[#This Row],[Quantity]]</f>
        <v>152</v>
      </c>
      <c r="J311" s="4">
        <f>Sales_data[[#This Row],[Revenue]]*Sales_data[[#This Row],[Quantity]]</f>
        <v>40</v>
      </c>
      <c r="K311" s="4" t="s">
        <v>388</v>
      </c>
    </row>
    <row r="312" spans="1:11" x14ac:dyDescent="0.25">
      <c r="A312" s="3">
        <v>45110</v>
      </c>
      <c r="B312" s="1" t="s">
        <v>91</v>
      </c>
      <c r="C312" s="1" t="s">
        <v>207</v>
      </c>
      <c r="D312" s="4">
        <v>22.25</v>
      </c>
      <c r="E312" s="4">
        <v>30</v>
      </c>
      <c r="F312" s="4">
        <f>Sales_data[[#This Row],[Selling Price (PHP)]]-Sales_data[[#This Row],[Base Price (PHP)]]</f>
        <v>7.75</v>
      </c>
      <c r="G312" s="4">
        <v>10</v>
      </c>
      <c r="H312" s="4">
        <f>Sales_data[[#This Row],[Quantity]]*Sales_data[[#This Row],[Base Price (PHP)]]</f>
        <v>222.5</v>
      </c>
      <c r="I312" s="4">
        <f>Sales_data[[#This Row],[Selling Price (PHP)]]*Sales_data[[#This Row],[Quantity]]</f>
        <v>300</v>
      </c>
      <c r="J312" s="4">
        <f>Sales_data[[#This Row],[Revenue]]*Sales_data[[#This Row],[Quantity]]</f>
        <v>77.5</v>
      </c>
      <c r="K312" s="4" t="s">
        <v>389</v>
      </c>
    </row>
    <row r="313" spans="1:11" x14ac:dyDescent="0.25">
      <c r="A313" s="3">
        <v>45111</v>
      </c>
      <c r="B313" s="1" t="s">
        <v>48</v>
      </c>
      <c r="C313" s="1" t="s">
        <v>49</v>
      </c>
      <c r="D313" s="4">
        <v>38.72</v>
      </c>
      <c r="E313" s="4">
        <v>43</v>
      </c>
      <c r="F313" s="4">
        <f>Sales_data[[#This Row],[Selling Price (PHP)]]-Sales_data[[#This Row],[Base Price (PHP)]]</f>
        <v>4.2800000000000011</v>
      </c>
      <c r="G313" s="4">
        <v>3</v>
      </c>
      <c r="H313" s="4">
        <f>Sales_data[[#This Row],[Quantity]]*Sales_data[[#This Row],[Base Price (PHP)]]</f>
        <v>116.16</v>
      </c>
      <c r="I313" s="4">
        <f>Sales_data[[#This Row],[Selling Price (PHP)]]*Sales_data[[#This Row],[Quantity]]</f>
        <v>129</v>
      </c>
      <c r="J313" s="4">
        <f>Sales_data[[#This Row],[Revenue]]*Sales_data[[#This Row],[Quantity]]</f>
        <v>12.840000000000003</v>
      </c>
      <c r="K313" s="4" t="s">
        <v>390</v>
      </c>
    </row>
    <row r="314" spans="1:11" x14ac:dyDescent="0.25">
      <c r="A314" s="3">
        <v>45111</v>
      </c>
      <c r="B314" s="1" t="s">
        <v>21</v>
      </c>
      <c r="C314" s="1" t="s">
        <v>100</v>
      </c>
      <c r="D314" s="4">
        <v>16.170000000000002</v>
      </c>
      <c r="E314" s="4">
        <v>20</v>
      </c>
      <c r="F314" s="4">
        <f>Sales_data[[#This Row],[Selling Price (PHP)]]-Sales_data[[#This Row],[Base Price (PHP)]]</f>
        <v>3.8299999999999983</v>
      </c>
      <c r="G314" s="4">
        <v>3</v>
      </c>
      <c r="H314" s="4">
        <f>Sales_data[[#This Row],[Quantity]]*Sales_data[[#This Row],[Base Price (PHP)]]</f>
        <v>48.510000000000005</v>
      </c>
      <c r="I314" s="4">
        <f>Sales_data[[#This Row],[Selling Price (PHP)]]*Sales_data[[#This Row],[Quantity]]</f>
        <v>60</v>
      </c>
      <c r="J314" s="4">
        <f>Sales_data[[#This Row],[Revenue]]*Sales_data[[#This Row],[Quantity]]</f>
        <v>11.489999999999995</v>
      </c>
      <c r="K314" s="4" t="s">
        <v>391</v>
      </c>
    </row>
    <row r="315" spans="1:11" x14ac:dyDescent="0.25">
      <c r="A315" s="3">
        <v>45111</v>
      </c>
      <c r="B315" s="1" t="s">
        <v>81</v>
      </c>
      <c r="C315" s="1" t="s">
        <v>85</v>
      </c>
      <c r="D315" s="4">
        <v>2.4500000000000002</v>
      </c>
      <c r="E315" s="4">
        <v>4</v>
      </c>
      <c r="F315" s="4">
        <f>Sales_data[[#This Row],[Selling Price (PHP)]]-Sales_data[[#This Row],[Base Price (PHP)]]</f>
        <v>1.5499999999999998</v>
      </c>
      <c r="G315" s="4">
        <v>5</v>
      </c>
      <c r="H315" s="4">
        <f>Sales_data[[#This Row],[Quantity]]*Sales_data[[#This Row],[Base Price (PHP)]]</f>
        <v>12.25</v>
      </c>
      <c r="I315" s="4">
        <f>Sales_data[[#This Row],[Selling Price (PHP)]]*Sales_data[[#This Row],[Quantity]]</f>
        <v>20</v>
      </c>
      <c r="J315" s="4">
        <f>Sales_data[[#This Row],[Revenue]]*Sales_data[[#This Row],[Quantity]]</f>
        <v>7.7499999999999991</v>
      </c>
      <c r="K315" s="4" t="s">
        <v>392</v>
      </c>
    </row>
    <row r="316" spans="1:11" x14ac:dyDescent="0.25">
      <c r="A316" s="3">
        <v>45112</v>
      </c>
      <c r="B316" s="1" t="s">
        <v>71</v>
      </c>
      <c r="C316" s="1" t="s">
        <v>161</v>
      </c>
      <c r="D316" s="4">
        <v>48.67</v>
      </c>
      <c r="E316" s="4">
        <v>58</v>
      </c>
      <c r="F316" s="4">
        <f>Sales_data[[#This Row],[Selling Price (PHP)]]-Sales_data[[#This Row],[Base Price (PHP)]]</f>
        <v>9.3299999999999983</v>
      </c>
      <c r="G316" s="4">
        <v>1</v>
      </c>
      <c r="H316" s="4">
        <f>Sales_data[[#This Row],[Quantity]]*Sales_data[[#This Row],[Base Price (PHP)]]</f>
        <v>48.67</v>
      </c>
      <c r="I316" s="4">
        <f>Sales_data[[#This Row],[Selling Price (PHP)]]*Sales_data[[#This Row],[Quantity]]</f>
        <v>58</v>
      </c>
      <c r="J316" s="4">
        <f>Sales_data[[#This Row],[Revenue]]*Sales_data[[#This Row],[Quantity]]</f>
        <v>9.3299999999999983</v>
      </c>
      <c r="K316" s="4" t="s">
        <v>393</v>
      </c>
    </row>
    <row r="317" spans="1:11" x14ac:dyDescent="0.25">
      <c r="A317" s="3">
        <v>45112</v>
      </c>
      <c r="B317" s="1" t="s">
        <v>10</v>
      </c>
      <c r="C317" s="1" t="s">
        <v>336</v>
      </c>
      <c r="D317" s="4">
        <v>17.170000000000002</v>
      </c>
      <c r="E317" s="4">
        <v>22</v>
      </c>
      <c r="F317" s="4">
        <f>Sales_data[[#This Row],[Selling Price (PHP)]]-Sales_data[[#This Row],[Base Price (PHP)]]</f>
        <v>4.8299999999999983</v>
      </c>
      <c r="G317" s="4">
        <v>10</v>
      </c>
      <c r="H317" s="4">
        <f>Sales_data[[#This Row],[Quantity]]*Sales_data[[#This Row],[Base Price (PHP)]]</f>
        <v>171.70000000000002</v>
      </c>
      <c r="I317" s="4">
        <f>Sales_data[[#This Row],[Selling Price (PHP)]]*Sales_data[[#This Row],[Quantity]]</f>
        <v>220</v>
      </c>
      <c r="J317" s="4">
        <f>Sales_data[[#This Row],[Revenue]]*Sales_data[[#This Row],[Quantity]]</f>
        <v>48.299999999999983</v>
      </c>
      <c r="K317" s="4" t="s">
        <v>394</v>
      </c>
    </row>
    <row r="318" spans="1:11" x14ac:dyDescent="0.25">
      <c r="A318" s="3">
        <v>45112</v>
      </c>
      <c r="B318" s="1" t="s">
        <v>7</v>
      </c>
      <c r="C318" s="1" t="s">
        <v>94</v>
      </c>
      <c r="D318" s="4">
        <v>9.83</v>
      </c>
      <c r="E318" s="4">
        <v>14</v>
      </c>
      <c r="F318" s="4">
        <f>Sales_data[[#This Row],[Selling Price (PHP)]]-Sales_data[[#This Row],[Base Price (PHP)]]</f>
        <v>4.17</v>
      </c>
      <c r="G318" s="4">
        <v>9</v>
      </c>
      <c r="H318" s="4">
        <f>Sales_data[[#This Row],[Quantity]]*Sales_data[[#This Row],[Base Price (PHP)]]</f>
        <v>88.47</v>
      </c>
      <c r="I318" s="4">
        <f>Sales_data[[#This Row],[Selling Price (PHP)]]*Sales_data[[#This Row],[Quantity]]</f>
        <v>126</v>
      </c>
      <c r="J318" s="4">
        <f>Sales_data[[#This Row],[Revenue]]*Sales_data[[#This Row],[Quantity]]</f>
        <v>37.53</v>
      </c>
      <c r="K318" s="4" t="s">
        <v>395</v>
      </c>
    </row>
    <row r="319" spans="1:11" x14ac:dyDescent="0.25">
      <c r="A319" s="3">
        <v>45112</v>
      </c>
      <c r="B319" s="1" t="s">
        <v>7</v>
      </c>
      <c r="C319" s="1" t="s">
        <v>94</v>
      </c>
      <c r="D319" s="4">
        <v>9.83</v>
      </c>
      <c r="E319" s="4">
        <v>14</v>
      </c>
      <c r="F319" s="4">
        <f>Sales_data[[#This Row],[Selling Price (PHP)]]-Sales_data[[#This Row],[Base Price (PHP)]]</f>
        <v>4.17</v>
      </c>
      <c r="G319" s="4">
        <v>6</v>
      </c>
      <c r="H319" s="4">
        <f>Sales_data[[#This Row],[Quantity]]*Sales_data[[#This Row],[Base Price (PHP)]]</f>
        <v>58.980000000000004</v>
      </c>
      <c r="I319" s="4">
        <f>Sales_data[[#This Row],[Selling Price (PHP)]]*Sales_data[[#This Row],[Quantity]]</f>
        <v>84</v>
      </c>
      <c r="J319" s="4">
        <f>Sales_data[[#This Row],[Revenue]]*Sales_data[[#This Row],[Quantity]]</f>
        <v>25.02</v>
      </c>
      <c r="K319" s="4" t="s">
        <v>396</v>
      </c>
    </row>
    <row r="320" spans="1:11" x14ac:dyDescent="0.25">
      <c r="A320" s="3">
        <v>45113</v>
      </c>
      <c r="B320" s="1" t="s">
        <v>91</v>
      </c>
      <c r="C320" s="1" t="s">
        <v>397</v>
      </c>
      <c r="D320" s="4">
        <v>14</v>
      </c>
      <c r="E320" s="4">
        <v>19</v>
      </c>
      <c r="F320" s="4">
        <f>Sales_data[[#This Row],[Selling Price (PHP)]]-Sales_data[[#This Row],[Base Price (PHP)]]</f>
        <v>5</v>
      </c>
      <c r="G320" s="4">
        <v>4</v>
      </c>
      <c r="H320" s="4">
        <f>Sales_data[[#This Row],[Quantity]]*Sales_data[[#This Row],[Base Price (PHP)]]</f>
        <v>56</v>
      </c>
      <c r="I320" s="4">
        <f>Sales_data[[#This Row],[Selling Price (PHP)]]*Sales_data[[#This Row],[Quantity]]</f>
        <v>76</v>
      </c>
      <c r="J320" s="4">
        <f>Sales_data[[#This Row],[Revenue]]*Sales_data[[#This Row],[Quantity]]</f>
        <v>20</v>
      </c>
      <c r="K320" s="4" t="s">
        <v>398</v>
      </c>
    </row>
    <row r="321" spans="1:11" x14ac:dyDescent="0.25">
      <c r="A321" s="3">
        <v>45113</v>
      </c>
      <c r="B321" s="1" t="s">
        <v>10</v>
      </c>
      <c r="C321" s="1" t="s">
        <v>336</v>
      </c>
      <c r="D321" s="4">
        <v>17.170000000000002</v>
      </c>
      <c r="E321" s="4">
        <v>22</v>
      </c>
      <c r="F321" s="4">
        <f>Sales_data[[#This Row],[Selling Price (PHP)]]-Sales_data[[#This Row],[Base Price (PHP)]]</f>
        <v>4.8299999999999983</v>
      </c>
      <c r="G321" s="4">
        <v>7</v>
      </c>
      <c r="H321" s="4">
        <f>Sales_data[[#This Row],[Quantity]]*Sales_data[[#This Row],[Base Price (PHP)]]</f>
        <v>120.19000000000001</v>
      </c>
      <c r="I321" s="4">
        <f>Sales_data[[#This Row],[Selling Price (PHP)]]*Sales_data[[#This Row],[Quantity]]</f>
        <v>154</v>
      </c>
      <c r="J321" s="4">
        <f>Sales_data[[#This Row],[Revenue]]*Sales_data[[#This Row],[Quantity]]</f>
        <v>33.809999999999988</v>
      </c>
      <c r="K321" s="4" t="s">
        <v>399</v>
      </c>
    </row>
    <row r="322" spans="1:11" x14ac:dyDescent="0.25">
      <c r="A322" s="3">
        <v>45114</v>
      </c>
      <c r="B322" s="1" t="s">
        <v>30</v>
      </c>
      <c r="C322" s="1" t="s">
        <v>105</v>
      </c>
      <c r="D322" s="4">
        <v>19.829999999999998</v>
      </c>
      <c r="E322" s="4">
        <v>24</v>
      </c>
      <c r="F322" s="4">
        <f>Sales_data[[#This Row],[Selling Price (PHP)]]-Sales_data[[#This Row],[Base Price (PHP)]]</f>
        <v>4.1700000000000017</v>
      </c>
      <c r="G322" s="4">
        <v>4</v>
      </c>
      <c r="H322" s="4">
        <f>Sales_data[[#This Row],[Quantity]]*Sales_data[[#This Row],[Base Price (PHP)]]</f>
        <v>79.319999999999993</v>
      </c>
      <c r="I322" s="4">
        <f>Sales_data[[#This Row],[Selling Price (PHP)]]*Sales_data[[#This Row],[Quantity]]</f>
        <v>96</v>
      </c>
      <c r="J322" s="4">
        <f>Sales_data[[#This Row],[Revenue]]*Sales_data[[#This Row],[Quantity]]</f>
        <v>16.680000000000007</v>
      </c>
      <c r="K322" s="4" t="s">
        <v>400</v>
      </c>
    </row>
    <row r="323" spans="1:11" x14ac:dyDescent="0.25">
      <c r="A323" s="3">
        <v>45114</v>
      </c>
      <c r="B323" s="1" t="s">
        <v>81</v>
      </c>
      <c r="C323" s="1" t="s">
        <v>85</v>
      </c>
      <c r="D323" s="4">
        <v>2.4500000000000002</v>
      </c>
      <c r="E323" s="4">
        <v>4</v>
      </c>
      <c r="F323" s="4">
        <f>Sales_data[[#This Row],[Selling Price (PHP)]]-Sales_data[[#This Row],[Base Price (PHP)]]</f>
        <v>1.5499999999999998</v>
      </c>
      <c r="G323" s="4">
        <v>10</v>
      </c>
      <c r="H323" s="4">
        <f>Sales_data[[#This Row],[Quantity]]*Sales_data[[#This Row],[Base Price (PHP)]]</f>
        <v>24.5</v>
      </c>
      <c r="I323" s="4">
        <f>Sales_data[[#This Row],[Selling Price (PHP)]]*Sales_data[[#This Row],[Quantity]]</f>
        <v>40</v>
      </c>
      <c r="J323" s="4">
        <f>Sales_data[[#This Row],[Revenue]]*Sales_data[[#This Row],[Quantity]]</f>
        <v>15.499999999999998</v>
      </c>
      <c r="K323" s="4" t="s">
        <v>401</v>
      </c>
    </row>
    <row r="324" spans="1:11" x14ac:dyDescent="0.25">
      <c r="A324" s="3">
        <v>45114</v>
      </c>
      <c r="B324" s="1" t="s">
        <v>81</v>
      </c>
      <c r="C324" s="1" t="s">
        <v>85</v>
      </c>
      <c r="D324" s="4">
        <v>2.4500000000000002</v>
      </c>
      <c r="E324" s="4">
        <v>4</v>
      </c>
      <c r="F324" s="4">
        <f>Sales_data[[#This Row],[Selling Price (PHP)]]-Sales_data[[#This Row],[Base Price (PHP)]]</f>
        <v>1.5499999999999998</v>
      </c>
      <c r="G324" s="4">
        <v>5</v>
      </c>
      <c r="H324" s="4">
        <f>Sales_data[[#This Row],[Quantity]]*Sales_data[[#This Row],[Base Price (PHP)]]</f>
        <v>12.25</v>
      </c>
      <c r="I324" s="4">
        <f>Sales_data[[#This Row],[Selling Price (PHP)]]*Sales_data[[#This Row],[Quantity]]</f>
        <v>20</v>
      </c>
      <c r="J324" s="4">
        <f>Sales_data[[#This Row],[Revenue]]*Sales_data[[#This Row],[Quantity]]</f>
        <v>7.7499999999999991</v>
      </c>
      <c r="K324" s="4" t="s">
        <v>402</v>
      </c>
    </row>
    <row r="325" spans="1:11" x14ac:dyDescent="0.25">
      <c r="A325" s="3">
        <v>45114</v>
      </c>
      <c r="B325" s="1" t="s">
        <v>7</v>
      </c>
      <c r="C325" s="1" t="s">
        <v>68</v>
      </c>
      <c r="D325" s="4">
        <v>10.5</v>
      </c>
      <c r="E325" s="4">
        <v>15</v>
      </c>
      <c r="F325" s="4">
        <f>Sales_data[[#This Row],[Selling Price (PHP)]]-Sales_data[[#This Row],[Base Price (PHP)]]</f>
        <v>4.5</v>
      </c>
      <c r="G325" s="4">
        <v>7</v>
      </c>
      <c r="H325" s="4">
        <f>Sales_data[[#This Row],[Quantity]]*Sales_data[[#This Row],[Base Price (PHP)]]</f>
        <v>73.5</v>
      </c>
      <c r="I325" s="4">
        <f>Sales_data[[#This Row],[Selling Price (PHP)]]*Sales_data[[#This Row],[Quantity]]</f>
        <v>105</v>
      </c>
      <c r="J325" s="4">
        <f>Sales_data[[#This Row],[Revenue]]*Sales_data[[#This Row],[Quantity]]</f>
        <v>31.5</v>
      </c>
      <c r="K325" s="4" t="s">
        <v>403</v>
      </c>
    </row>
    <row r="326" spans="1:11" x14ac:dyDescent="0.25">
      <c r="A326" s="3">
        <v>45114</v>
      </c>
      <c r="B326" s="1" t="s">
        <v>7</v>
      </c>
      <c r="C326" s="1" t="s">
        <v>68</v>
      </c>
      <c r="D326" s="4">
        <v>10.5</v>
      </c>
      <c r="E326" s="4">
        <v>15</v>
      </c>
      <c r="F326" s="4">
        <f>Sales_data[[#This Row],[Selling Price (PHP)]]-Sales_data[[#This Row],[Base Price (PHP)]]</f>
        <v>4.5</v>
      </c>
      <c r="G326" s="4">
        <v>2</v>
      </c>
      <c r="H326" s="4">
        <f>Sales_data[[#This Row],[Quantity]]*Sales_data[[#This Row],[Base Price (PHP)]]</f>
        <v>21</v>
      </c>
      <c r="I326" s="4">
        <f>Sales_data[[#This Row],[Selling Price (PHP)]]*Sales_data[[#This Row],[Quantity]]</f>
        <v>30</v>
      </c>
      <c r="J326" s="4">
        <f>Sales_data[[#This Row],[Revenue]]*Sales_data[[#This Row],[Quantity]]</f>
        <v>9</v>
      </c>
      <c r="K326" s="4" t="s">
        <v>404</v>
      </c>
    </row>
    <row r="327" spans="1:11" x14ac:dyDescent="0.25">
      <c r="A327" s="3">
        <v>45114</v>
      </c>
      <c r="B327" s="1" t="s">
        <v>7</v>
      </c>
      <c r="C327" s="1" t="s">
        <v>68</v>
      </c>
      <c r="D327" s="4">
        <v>10.5</v>
      </c>
      <c r="E327" s="4">
        <v>15</v>
      </c>
      <c r="F327" s="4">
        <f>Sales_data[[#This Row],[Selling Price (PHP)]]-Sales_data[[#This Row],[Base Price (PHP)]]</f>
        <v>4.5</v>
      </c>
      <c r="G327" s="4">
        <v>8</v>
      </c>
      <c r="H327" s="4">
        <f>Sales_data[[#This Row],[Quantity]]*Sales_data[[#This Row],[Base Price (PHP)]]</f>
        <v>84</v>
      </c>
      <c r="I327" s="4">
        <f>Sales_data[[#This Row],[Selling Price (PHP)]]*Sales_data[[#This Row],[Quantity]]</f>
        <v>120</v>
      </c>
      <c r="J327" s="4">
        <f>Sales_data[[#This Row],[Revenue]]*Sales_data[[#This Row],[Quantity]]</f>
        <v>36</v>
      </c>
      <c r="K327" s="4" t="s">
        <v>405</v>
      </c>
    </row>
    <row r="328" spans="1:11" x14ac:dyDescent="0.25">
      <c r="A328" s="3">
        <v>45114</v>
      </c>
      <c r="B328" s="1" t="s">
        <v>7</v>
      </c>
      <c r="C328" s="1" t="s">
        <v>68</v>
      </c>
      <c r="D328" s="4">
        <v>10.5</v>
      </c>
      <c r="E328" s="4">
        <v>15</v>
      </c>
      <c r="F328" s="4">
        <f>Sales_data[[#This Row],[Selling Price (PHP)]]-Sales_data[[#This Row],[Base Price (PHP)]]</f>
        <v>4.5</v>
      </c>
      <c r="G328" s="4">
        <v>5</v>
      </c>
      <c r="H328" s="4">
        <f>Sales_data[[#This Row],[Quantity]]*Sales_data[[#This Row],[Base Price (PHP)]]</f>
        <v>52.5</v>
      </c>
      <c r="I328" s="4">
        <f>Sales_data[[#This Row],[Selling Price (PHP)]]*Sales_data[[#This Row],[Quantity]]</f>
        <v>75</v>
      </c>
      <c r="J328" s="4">
        <f>Sales_data[[#This Row],[Revenue]]*Sales_data[[#This Row],[Quantity]]</f>
        <v>22.5</v>
      </c>
      <c r="K328" s="4" t="s">
        <v>406</v>
      </c>
    </row>
    <row r="329" spans="1:11" x14ac:dyDescent="0.25">
      <c r="A329" s="3">
        <v>45115</v>
      </c>
      <c r="B329" s="1" t="s">
        <v>30</v>
      </c>
      <c r="C329" s="1" t="s">
        <v>31</v>
      </c>
      <c r="D329" s="4">
        <v>20.329999999999998</v>
      </c>
      <c r="E329" s="4">
        <v>25</v>
      </c>
      <c r="F329" s="4">
        <f>Sales_data[[#This Row],[Selling Price (PHP)]]-Sales_data[[#This Row],[Base Price (PHP)]]</f>
        <v>4.6700000000000017</v>
      </c>
      <c r="G329" s="4">
        <v>2</v>
      </c>
      <c r="H329" s="4">
        <f>Sales_data[[#This Row],[Quantity]]*Sales_data[[#This Row],[Base Price (PHP)]]</f>
        <v>40.659999999999997</v>
      </c>
      <c r="I329" s="4">
        <f>Sales_data[[#This Row],[Selling Price (PHP)]]*Sales_data[[#This Row],[Quantity]]</f>
        <v>50</v>
      </c>
      <c r="J329" s="4">
        <f>Sales_data[[#This Row],[Revenue]]*Sales_data[[#This Row],[Quantity]]</f>
        <v>9.3400000000000034</v>
      </c>
      <c r="K329" s="4" t="s">
        <v>407</v>
      </c>
    </row>
    <row r="330" spans="1:11" x14ac:dyDescent="0.25">
      <c r="A330" s="3">
        <v>45115</v>
      </c>
      <c r="B330" s="1" t="s">
        <v>74</v>
      </c>
      <c r="C330" s="1" t="s">
        <v>123</v>
      </c>
      <c r="D330" s="4">
        <v>23.5</v>
      </c>
      <c r="E330" s="4">
        <v>28</v>
      </c>
      <c r="F330" s="4">
        <f>Sales_data[[#This Row],[Selling Price (PHP)]]-Sales_data[[#This Row],[Base Price (PHP)]]</f>
        <v>4.5</v>
      </c>
      <c r="G330" s="4">
        <v>1</v>
      </c>
      <c r="H330" s="4">
        <f>Sales_data[[#This Row],[Quantity]]*Sales_data[[#This Row],[Base Price (PHP)]]</f>
        <v>23.5</v>
      </c>
      <c r="I330" s="4">
        <f>Sales_data[[#This Row],[Selling Price (PHP)]]*Sales_data[[#This Row],[Quantity]]</f>
        <v>28</v>
      </c>
      <c r="J330" s="4">
        <f>Sales_data[[#This Row],[Revenue]]*Sales_data[[#This Row],[Quantity]]</f>
        <v>4.5</v>
      </c>
      <c r="K330" s="4" t="s">
        <v>408</v>
      </c>
    </row>
    <row r="331" spans="1:11" x14ac:dyDescent="0.25">
      <c r="A331" s="3">
        <v>45115</v>
      </c>
      <c r="B331" s="1" t="s">
        <v>7</v>
      </c>
      <c r="C331" s="1" t="s">
        <v>8</v>
      </c>
      <c r="D331" s="4">
        <v>8.17</v>
      </c>
      <c r="E331" s="4">
        <v>13</v>
      </c>
      <c r="F331" s="4">
        <f>Sales_data[[#This Row],[Selling Price (PHP)]]-Sales_data[[#This Row],[Base Price (PHP)]]</f>
        <v>4.83</v>
      </c>
      <c r="G331" s="4">
        <v>9</v>
      </c>
      <c r="H331" s="4">
        <f>Sales_data[[#This Row],[Quantity]]*Sales_data[[#This Row],[Base Price (PHP)]]</f>
        <v>73.53</v>
      </c>
      <c r="I331" s="4">
        <f>Sales_data[[#This Row],[Selling Price (PHP)]]*Sales_data[[#This Row],[Quantity]]</f>
        <v>117</v>
      </c>
      <c r="J331" s="4">
        <f>Sales_data[[#This Row],[Revenue]]*Sales_data[[#This Row],[Quantity]]</f>
        <v>43.47</v>
      </c>
      <c r="K331" s="4" t="s">
        <v>409</v>
      </c>
    </row>
    <row r="332" spans="1:11" x14ac:dyDescent="0.25">
      <c r="A332" s="3">
        <v>45116</v>
      </c>
      <c r="B332" s="1" t="s">
        <v>30</v>
      </c>
      <c r="C332" s="1" t="s">
        <v>125</v>
      </c>
      <c r="D332" s="4">
        <v>12.33</v>
      </c>
      <c r="E332" s="4">
        <v>17</v>
      </c>
      <c r="F332" s="4">
        <f>Sales_data[[#This Row],[Selling Price (PHP)]]-Sales_data[[#This Row],[Base Price (PHP)]]</f>
        <v>4.67</v>
      </c>
      <c r="G332" s="4">
        <v>10</v>
      </c>
      <c r="H332" s="4">
        <f>Sales_data[[#This Row],[Quantity]]*Sales_data[[#This Row],[Base Price (PHP)]]</f>
        <v>123.3</v>
      </c>
      <c r="I332" s="4">
        <f>Sales_data[[#This Row],[Selling Price (PHP)]]*Sales_data[[#This Row],[Quantity]]</f>
        <v>170</v>
      </c>
      <c r="J332" s="4">
        <f>Sales_data[[#This Row],[Revenue]]*Sales_data[[#This Row],[Quantity]]</f>
        <v>46.7</v>
      </c>
      <c r="K332" s="4" t="s">
        <v>410</v>
      </c>
    </row>
    <row r="333" spans="1:11" x14ac:dyDescent="0.25">
      <c r="A333" s="3">
        <v>45116</v>
      </c>
      <c r="B333" s="1" t="s">
        <v>7</v>
      </c>
      <c r="C333" s="1" t="s">
        <v>68</v>
      </c>
      <c r="D333" s="4">
        <v>10.5</v>
      </c>
      <c r="E333" s="4">
        <v>15</v>
      </c>
      <c r="F333" s="4">
        <f>Sales_data[[#This Row],[Selling Price (PHP)]]-Sales_data[[#This Row],[Base Price (PHP)]]</f>
        <v>4.5</v>
      </c>
      <c r="G333" s="4">
        <v>10</v>
      </c>
      <c r="H333" s="4">
        <f>Sales_data[[#This Row],[Quantity]]*Sales_data[[#This Row],[Base Price (PHP)]]</f>
        <v>105</v>
      </c>
      <c r="I333" s="4">
        <f>Sales_data[[#This Row],[Selling Price (PHP)]]*Sales_data[[#This Row],[Quantity]]</f>
        <v>150</v>
      </c>
      <c r="J333" s="4">
        <f>Sales_data[[#This Row],[Revenue]]*Sales_data[[#This Row],[Quantity]]</f>
        <v>45</v>
      </c>
      <c r="K333" s="4" t="s">
        <v>411</v>
      </c>
    </row>
    <row r="334" spans="1:11" x14ac:dyDescent="0.25">
      <c r="A334" s="3">
        <v>45117</v>
      </c>
      <c r="B334" s="1" t="s">
        <v>14</v>
      </c>
      <c r="C334" s="1" t="s">
        <v>15</v>
      </c>
      <c r="D334" s="4">
        <v>10.25</v>
      </c>
      <c r="E334" s="4">
        <v>14</v>
      </c>
      <c r="F334" s="4">
        <f>Sales_data[[#This Row],[Selling Price (PHP)]]-Sales_data[[#This Row],[Base Price (PHP)]]</f>
        <v>3.75</v>
      </c>
      <c r="G334" s="4">
        <v>5</v>
      </c>
      <c r="H334" s="4">
        <f>Sales_data[[#This Row],[Quantity]]*Sales_data[[#This Row],[Base Price (PHP)]]</f>
        <v>51.25</v>
      </c>
      <c r="I334" s="4">
        <f>Sales_data[[#This Row],[Selling Price (PHP)]]*Sales_data[[#This Row],[Quantity]]</f>
        <v>70</v>
      </c>
      <c r="J334" s="4">
        <f>Sales_data[[#This Row],[Revenue]]*Sales_data[[#This Row],[Quantity]]</f>
        <v>18.75</v>
      </c>
      <c r="K334" s="4" t="s">
        <v>412</v>
      </c>
    </row>
    <row r="335" spans="1:11" x14ac:dyDescent="0.25">
      <c r="A335" s="3">
        <v>45117</v>
      </c>
      <c r="B335" s="1" t="s">
        <v>14</v>
      </c>
      <c r="C335" s="1" t="s">
        <v>15</v>
      </c>
      <c r="D335" s="4">
        <v>10.25</v>
      </c>
      <c r="E335" s="4">
        <v>14</v>
      </c>
      <c r="F335" s="4">
        <f>Sales_data[[#This Row],[Selling Price (PHP)]]-Sales_data[[#This Row],[Base Price (PHP)]]</f>
        <v>3.75</v>
      </c>
      <c r="G335" s="4">
        <v>3</v>
      </c>
      <c r="H335" s="4">
        <f>Sales_data[[#This Row],[Quantity]]*Sales_data[[#This Row],[Base Price (PHP)]]</f>
        <v>30.75</v>
      </c>
      <c r="I335" s="4">
        <f>Sales_data[[#This Row],[Selling Price (PHP)]]*Sales_data[[#This Row],[Quantity]]</f>
        <v>42</v>
      </c>
      <c r="J335" s="4">
        <f>Sales_data[[#This Row],[Revenue]]*Sales_data[[#This Row],[Quantity]]</f>
        <v>11.25</v>
      </c>
      <c r="K335" s="4" t="s">
        <v>413</v>
      </c>
    </row>
    <row r="336" spans="1:11" x14ac:dyDescent="0.25">
      <c r="A336" s="3">
        <v>45117</v>
      </c>
      <c r="B336" s="1" t="s">
        <v>24</v>
      </c>
      <c r="C336" s="1" t="s">
        <v>145</v>
      </c>
      <c r="D336" s="4">
        <v>9.5</v>
      </c>
      <c r="E336" s="4">
        <v>14</v>
      </c>
      <c r="F336" s="4">
        <f>Sales_data[[#This Row],[Selling Price (PHP)]]-Sales_data[[#This Row],[Base Price (PHP)]]</f>
        <v>4.5</v>
      </c>
      <c r="G336" s="4">
        <v>2</v>
      </c>
      <c r="H336" s="4">
        <f>Sales_data[[#This Row],[Quantity]]*Sales_data[[#This Row],[Base Price (PHP)]]</f>
        <v>19</v>
      </c>
      <c r="I336" s="4">
        <f>Sales_data[[#This Row],[Selling Price (PHP)]]*Sales_data[[#This Row],[Quantity]]</f>
        <v>28</v>
      </c>
      <c r="J336" s="4">
        <f>Sales_data[[#This Row],[Revenue]]*Sales_data[[#This Row],[Quantity]]</f>
        <v>9</v>
      </c>
      <c r="K336" s="4" t="s">
        <v>414</v>
      </c>
    </row>
    <row r="337" spans="1:11" x14ac:dyDescent="0.25">
      <c r="A337" s="3">
        <v>45117</v>
      </c>
      <c r="B337" s="1" t="s">
        <v>7</v>
      </c>
      <c r="C337" s="1" t="s">
        <v>133</v>
      </c>
      <c r="D337" s="4">
        <v>10.25</v>
      </c>
      <c r="E337" s="4">
        <v>15</v>
      </c>
      <c r="F337" s="4">
        <f>Sales_data[[#This Row],[Selling Price (PHP)]]-Sales_data[[#This Row],[Base Price (PHP)]]</f>
        <v>4.75</v>
      </c>
      <c r="G337" s="4">
        <v>2</v>
      </c>
      <c r="H337" s="4">
        <f>Sales_data[[#This Row],[Quantity]]*Sales_data[[#This Row],[Base Price (PHP)]]</f>
        <v>20.5</v>
      </c>
      <c r="I337" s="4">
        <f>Sales_data[[#This Row],[Selling Price (PHP)]]*Sales_data[[#This Row],[Quantity]]</f>
        <v>30</v>
      </c>
      <c r="J337" s="4">
        <f>Sales_data[[#This Row],[Revenue]]*Sales_data[[#This Row],[Quantity]]</f>
        <v>9.5</v>
      </c>
      <c r="K337" s="4" t="s">
        <v>415</v>
      </c>
    </row>
    <row r="338" spans="1:11" x14ac:dyDescent="0.25">
      <c r="A338" s="3">
        <v>45118</v>
      </c>
      <c r="B338" s="1" t="s">
        <v>45</v>
      </c>
      <c r="C338" s="1" t="s">
        <v>148</v>
      </c>
      <c r="D338" s="4">
        <v>52</v>
      </c>
      <c r="E338" s="4">
        <v>60</v>
      </c>
      <c r="F338" s="4">
        <f>Sales_data[[#This Row],[Selling Price (PHP)]]-Sales_data[[#This Row],[Base Price (PHP)]]</f>
        <v>8</v>
      </c>
      <c r="G338" s="4">
        <v>2</v>
      </c>
      <c r="H338" s="4">
        <f>Sales_data[[#This Row],[Quantity]]*Sales_data[[#This Row],[Base Price (PHP)]]</f>
        <v>104</v>
      </c>
      <c r="I338" s="4">
        <f>Sales_data[[#This Row],[Selling Price (PHP)]]*Sales_data[[#This Row],[Quantity]]</f>
        <v>120</v>
      </c>
      <c r="J338" s="4">
        <f>Sales_data[[#This Row],[Revenue]]*Sales_data[[#This Row],[Quantity]]</f>
        <v>16</v>
      </c>
      <c r="K338" s="4" t="s">
        <v>416</v>
      </c>
    </row>
    <row r="339" spans="1:11" x14ac:dyDescent="0.25">
      <c r="A339" s="3">
        <v>45118</v>
      </c>
      <c r="B339" s="1" t="s">
        <v>24</v>
      </c>
      <c r="C339" s="1" t="s">
        <v>109</v>
      </c>
      <c r="D339" s="4">
        <v>10.5</v>
      </c>
      <c r="E339" s="4">
        <v>15</v>
      </c>
      <c r="F339" s="4">
        <f>Sales_data[[#This Row],[Selling Price (PHP)]]-Sales_data[[#This Row],[Base Price (PHP)]]</f>
        <v>4.5</v>
      </c>
      <c r="G339" s="4">
        <v>2</v>
      </c>
      <c r="H339" s="4">
        <f>Sales_data[[#This Row],[Quantity]]*Sales_data[[#This Row],[Base Price (PHP)]]</f>
        <v>21</v>
      </c>
      <c r="I339" s="4">
        <f>Sales_data[[#This Row],[Selling Price (PHP)]]*Sales_data[[#This Row],[Quantity]]</f>
        <v>30</v>
      </c>
      <c r="J339" s="4">
        <f>Sales_data[[#This Row],[Revenue]]*Sales_data[[#This Row],[Quantity]]</f>
        <v>9</v>
      </c>
      <c r="K339" s="4" t="s">
        <v>417</v>
      </c>
    </row>
    <row r="340" spans="1:11" x14ac:dyDescent="0.25">
      <c r="A340" s="3">
        <v>45118</v>
      </c>
      <c r="B340" s="1" t="s">
        <v>24</v>
      </c>
      <c r="C340" s="1" t="s">
        <v>109</v>
      </c>
      <c r="D340" s="4">
        <v>10.5</v>
      </c>
      <c r="E340" s="4">
        <v>15</v>
      </c>
      <c r="F340" s="4">
        <f>Sales_data[[#This Row],[Selling Price (PHP)]]-Sales_data[[#This Row],[Base Price (PHP)]]</f>
        <v>4.5</v>
      </c>
      <c r="G340" s="4">
        <v>9</v>
      </c>
      <c r="H340" s="4">
        <f>Sales_data[[#This Row],[Quantity]]*Sales_data[[#This Row],[Base Price (PHP)]]</f>
        <v>94.5</v>
      </c>
      <c r="I340" s="4">
        <f>Sales_data[[#This Row],[Selling Price (PHP)]]*Sales_data[[#This Row],[Quantity]]</f>
        <v>135</v>
      </c>
      <c r="J340" s="4">
        <f>Sales_data[[#This Row],[Revenue]]*Sales_data[[#This Row],[Quantity]]</f>
        <v>40.5</v>
      </c>
      <c r="K340" s="4" t="s">
        <v>418</v>
      </c>
    </row>
    <row r="341" spans="1:11" x14ac:dyDescent="0.25">
      <c r="A341" s="3">
        <v>45118</v>
      </c>
      <c r="B341" s="1" t="s">
        <v>7</v>
      </c>
      <c r="C341" s="1" t="s">
        <v>68</v>
      </c>
      <c r="D341" s="4">
        <v>10.5</v>
      </c>
      <c r="E341" s="4">
        <v>15</v>
      </c>
      <c r="F341" s="4">
        <f>Sales_data[[#This Row],[Selling Price (PHP)]]-Sales_data[[#This Row],[Base Price (PHP)]]</f>
        <v>4.5</v>
      </c>
      <c r="G341" s="4">
        <v>7</v>
      </c>
      <c r="H341" s="4">
        <f>Sales_data[[#This Row],[Quantity]]*Sales_data[[#This Row],[Base Price (PHP)]]</f>
        <v>73.5</v>
      </c>
      <c r="I341" s="4">
        <f>Sales_data[[#This Row],[Selling Price (PHP)]]*Sales_data[[#This Row],[Quantity]]</f>
        <v>105</v>
      </c>
      <c r="J341" s="4">
        <f>Sales_data[[#This Row],[Revenue]]*Sales_data[[#This Row],[Quantity]]</f>
        <v>31.5</v>
      </c>
      <c r="K341" s="4" t="s">
        <v>419</v>
      </c>
    </row>
    <row r="342" spans="1:11" x14ac:dyDescent="0.25">
      <c r="A342" s="3">
        <v>45119</v>
      </c>
      <c r="B342" s="1" t="s">
        <v>48</v>
      </c>
      <c r="C342" s="1" t="s">
        <v>199</v>
      </c>
      <c r="D342" s="4">
        <v>35.65</v>
      </c>
      <c r="E342" s="4">
        <v>40</v>
      </c>
      <c r="F342" s="4">
        <f>Sales_data[[#This Row],[Selling Price (PHP)]]-Sales_data[[#This Row],[Base Price (PHP)]]</f>
        <v>4.3500000000000014</v>
      </c>
      <c r="G342" s="4">
        <v>9</v>
      </c>
      <c r="H342" s="4">
        <f>Sales_data[[#This Row],[Quantity]]*Sales_data[[#This Row],[Base Price (PHP)]]</f>
        <v>320.84999999999997</v>
      </c>
      <c r="I342" s="4">
        <f>Sales_data[[#This Row],[Selling Price (PHP)]]*Sales_data[[#This Row],[Quantity]]</f>
        <v>360</v>
      </c>
      <c r="J342" s="4">
        <f>Sales_data[[#This Row],[Revenue]]*Sales_data[[#This Row],[Quantity]]</f>
        <v>39.150000000000013</v>
      </c>
      <c r="K342" s="4" t="s">
        <v>420</v>
      </c>
    </row>
    <row r="343" spans="1:11" x14ac:dyDescent="0.25">
      <c r="A343" s="3">
        <v>45119</v>
      </c>
      <c r="B343" s="1" t="s">
        <v>48</v>
      </c>
      <c r="C343" s="1" t="s">
        <v>199</v>
      </c>
      <c r="D343" s="4">
        <v>35.65</v>
      </c>
      <c r="E343" s="4">
        <v>40</v>
      </c>
      <c r="F343" s="4">
        <f>Sales_data[[#This Row],[Selling Price (PHP)]]-Sales_data[[#This Row],[Base Price (PHP)]]</f>
        <v>4.3500000000000014</v>
      </c>
      <c r="G343" s="4">
        <v>9</v>
      </c>
      <c r="H343" s="4">
        <f>Sales_data[[#This Row],[Quantity]]*Sales_data[[#This Row],[Base Price (PHP)]]</f>
        <v>320.84999999999997</v>
      </c>
      <c r="I343" s="4">
        <f>Sales_data[[#This Row],[Selling Price (PHP)]]*Sales_data[[#This Row],[Quantity]]</f>
        <v>360</v>
      </c>
      <c r="J343" s="4">
        <f>Sales_data[[#This Row],[Revenue]]*Sales_data[[#This Row],[Quantity]]</f>
        <v>39.150000000000013</v>
      </c>
      <c r="K343" s="4" t="s">
        <v>421</v>
      </c>
    </row>
    <row r="344" spans="1:11" x14ac:dyDescent="0.25">
      <c r="A344" s="3">
        <v>45119</v>
      </c>
      <c r="B344" s="1" t="s">
        <v>14</v>
      </c>
      <c r="C344" s="1" t="s">
        <v>164</v>
      </c>
      <c r="D344" s="4">
        <v>15.65</v>
      </c>
      <c r="E344" s="4">
        <v>22</v>
      </c>
      <c r="F344" s="4">
        <f>Sales_data[[#This Row],[Selling Price (PHP)]]-Sales_data[[#This Row],[Base Price (PHP)]]</f>
        <v>6.35</v>
      </c>
      <c r="G344" s="4">
        <v>2</v>
      </c>
      <c r="H344" s="4">
        <f>Sales_data[[#This Row],[Quantity]]*Sales_data[[#This Row],[Base Price (PHP)]]</f>
        <v>31.3</v>
      </c>
      <c r="I344" s="4">
        <f>Sales_data[[#This Row],[Selling Price (PHP)]]*Sales_data[[#This Row],[Quantity]]</f>
        <v>44</v>
      </c>
      <c r="J344" s="4">
        <f>Sales_data[[#This Row],[Revenue]]*Sales_data[[#This Row],[Quantity]]</f>
        <v>12.7</v>
      </c>
      <c r="K344" s="4" t="s">
        <v>422</v>
      </c>
    </row>
    <row r="345" spans="1:11" x14ac:dyDescent="0.25">
      <c r="A345" s="3">
        <v>45119</v>
      </c>
      <c r="B345" s="1" t="s">
        <v>7</v>
      </c>
      <c r="C345" s="1" t="s">
        <v>131</v>
      </c>
      <c r="D345" s="4">
        <v>8.75</v>
      </c>
      <c r="E345" s="4">
        <v>14</v>
      </c>
      <c r="F345" s="4">
        <f>Sales_data[[#This Row],[Selling Price (PHP)]]-Sales_data[[#This Row],[Base Price (PHP)]]</f>
        <v>5.25</v>
      </c>
      <c r="G345" s="4">
        <v>10</v>
      </c>
      <c r="H345" s="4">
        <f>Sales_data[[#This Row],[Quantity]]*Sales_data[[#This Row],[Base Price (PHP)]]</f>
        <v>87.5</v>
      </c>
      <c r="I345" s="4">
        <f>Sales_data[[#This Row],[Selling Price (PHP)]]*Sales_data[[#This Row],[Quantity]]</f>
        <v>140</v>
      </c>
      <c r="J345" s="4">
        <f>Sales_data[[#This Row],[Revenue]]*Sales_data[[#This Row],[Quantity]]</f>
        <v>52.5</v>
      </c>
      <c r="K345" s="4" t="s">
        <v>423</v>
      </c>
    </row>
    <row r="346" spans="1:11" x14ac:dyDescent="0.25">
      <c r="A346" s="3">
        <v>45120</v>
      </c>
      <c r="B346" s="1" t="s">
        <v>74</v>
      </c>
      <c r="C346" s="1" t="s">
        <v>75</v>
      </c>
      <c r="D346" s="4">
        <v>45.24</v>
      </c>
      <c r="E346" s="4">
        <v>65</v>
      </c>
      <c r="F346" s="4">
        <f>Sales_data[[#This Row],[Selling Price (PHP)]]-Sales_data[[#This Row],[Base Price (PHP)]]</f>
        <v>19.759999999999998</v>
      </c>
      <c r="G346" s="4">
        <v>3</v>
      </c>
      <c r="H346" s="4">
        <f>Sales_data[[#This Row],[Quantity]]*Sales_data[[#This Row],[Base Price (PHP)]]</f>
        <v>135.72</v>
      </c>
      <c r="I346" s="4">
        <f>Sales_data[[#This Row],[Selling Price (PHP)]]*Sales_data[[#This Row],[Quantity]]</f>
        <v>195</v>
      </c>
      <c r="J346" s="4">
        <f>Sales_data[[#This Row],[Revenue]]*Sales_data[[#This Row],[Quantity]]</f>
        <v>59.279999999999994</v>
      </c>
      <c r="K346" s="4" t="s">
        <v>424</v>
      </c>
    </row>
    <row r="347" spans="1:11" x14ac:dyDescent="0.25">
      <c r="A347" s="3">
        <v>45120</v>
      </c>
      <c r="B347" s="1" t="s">
        <v>7</v>
      </c>
      <c r="C347" s="1" t="s">
        <v>55</v>
      </c>
      <c r="D347" s="4">
        <v>12</v>
      </c>
      <c r="E347" s="4">
        <v>18</v>
      </c>
      <c r="F347" s="4">
        <f>Sales_data[[#This Row],[Selling Price (PHP)]]-Sales_data[[#This Row],[Base Price (PHP)]]</f>
        <v>6</v>
      </c>
      <c r="G347" s="4">
        <v>1</v>
      </c>
      <c r="H347" s="4">
        <f>Sales_data[[#This Row],[Quantity]]*Sales_data[[#This Row],[Base Price (PHP)]]</f>
        <v>12</v>
      </c>
      <c r="I347" s="4">
        <f>Sales_data[[#This Row],[Selling Price (PHP)]]*Sales_data[[#This Row],[Quantity]]</f>
        <v>18</v>
      </c>
      <c r="J347" s="4">
        <f>Sales_data[[#This Row],[Revenue]]*Sales_data[[#This Row],[Quantity]]</f>
        <v>6</v>
      </c>
      <c r="K347" s="4" t="s">
        <v>425</v>
      </c>
    </row>
    <row r="348" spans="1:11" x14ac:dyDescent="0.25">
      <c r="A348" s="3">
        <v>45121</v>
      </c>
      <c r="B348" s="1" t="s">
        <v>74</v>
      </c>
      <c r="C348" s="1" t="s">
        <v>75</v>
      </c>
      <c r="D348" s="4">
        <v>45.24</v>
      </c>
      <c r="E348" s="4">
        <v>65</v>
      </c>
      <c r="F348" s="4">
        <f>Sales_data[[#This Row],[Selling Price (PHP)]]-Sales_data[[#This Row],[Base Price (PHP)]]</f>
        <v>19.759999999999998</v>
      </c>
      <c r="G348" s="4">
        <v>8</v>
      </c>
      <c r="H348" s="4">
        <f>Sales_data[[#This Row],[Quantity]]*Sales_data[[#This Row],[Base Price (PHP)]]</f>
        <v>361.92</v>
      </c>
      <c r="I348" s="4">
        <f>Sales_data[[#This Row],[Selling Price (PHP)]]*Sales_data[[#This Row],[Quantity]]</f>
        <v>520</v>
      </c>
      <c r="J348" s="4">
        <f>Sales_data[[#This Row],[Revenue]]*Sales_data[[#This Row],[Quantity]]</f>
        <v>158.07999999999998</v>
      </c>
      <c r="K348" s="4" t="s">
        <v>426</v>
      </c>
    </row>
    <row r="349" spans="1:11" x14ac:dyDescent="0.25">
      <c r="A349" s="3">
        <v>45121</v>
      </c>
      <c r="B349" s="1" t="s">
        <v>81</v>
      </c>
      <c r="C349" s="1" t="s">
        <v>82</v>
      </c>
      <c r="D349" s="4">
        <v>1.25</v>
      </c>
      <c r="E349" s="4">
        <v>3</v>
      </c>
      <c r="F349" s="4">
        <f>Sales_data[[#This Row],[Selling Price (PHP)]]-Sales_data[[#This Row],[Base Price (PHP)]]</f>
        <v>1.75</v>
      </c>
      <c r="G349" s="4">
        <v>9</v>
      </c>
      <c r="H349" s="4">
        <f>Sales_data[[#This Row],[Quantity]]*Sales_data[[#This Row],[Base Price (PHP)]]</f>
        <v>11.25</v>
      </c>
      <c r="I349" s="4">
        <f>Sales_data[[#This Row],[Selling Price (PHP)]]*Sales_data[[#This Row],[Quantity]]</f>
        <v>27</v>
      </c>
      <c r="J349" s="4">
        <f>Sales_data[[#This Row],[Revenue]]*Sales_data[[#This Row],[Quantity]]</f>
        <v>15.75</v>
      </c>
      <c r="K349" s="4" t="s">
        <v>427</v>
      </c>
    </row>
    <row r="350" spans="1:11" x14ac:dyDescent="0.25">
      <c r="A350" s="3">
        <v>45122</v>
      </c>
      <c r="B350" s="1" t="s">
        <v>14</v>
      </c>
      <c r="C350" s="1" t="s">
        <v>15</v>
      </c>
      <c r="D350" s="4">
        <v>10.25</v>
      </c>
      <c r="E350" s="4">
        <v>14</v>
      </c>
      <c r="F350" s="4">
        <f>Sales_data[[#This Row],[Selling Price (PHP)]]-Sales_data[[#This Row],[Base Price (PHP)]]</f>
        <v>3.75</v>
      </c>
      <c r="G350" s="4">
        <v>6</v>
      </c>
      <c r="H350" s="4">
        <f>Sales_data[[#This Row],[Quantity]]*Sales_data[[#This Row],[Base Price (PHP)]]</f>
        <v>61.5</v>
      </c>
      <c r="I350" s="4">
        <f>Sales_data[[#This Row],[Selling Price (PHP)]]*Sales_data[[#This Row],[Quantity]]</f>
        <v>84</v>
      </c>
      <c r="J350" s="4">
        <f>Sales_data[[#This Row],[Revenue]]*Sales_data[[#This Row],[Quantity]]</f>
        <v>22.5</v>
      </c>
      <c r="K350" s="4" t="s">
        <v>428</v>
      </c>
    </row>
    <row r="351" spans="1:11" x14ac:dyDescent="0.25">
      <c r="A351" s="3">
        <v>45122</v>
      </c>
      <c r="B351" s="1" t="s">
        <v>10</v>
      </c>
      <c r="C351" s="1" t="s">
        <v>37</v>
      </c>
      <c r="D351" s="4">
        <v>13.83</v>
      </c>
      <c r="E351" s="4">
        <v>18</v>
      </c>
      <c r="F351" s="4">
        <f>Sales_data[[#This Row],[Selling Price (PHP)]]-Sales_data[[#This Row],[Base Price (PHP)]]</f>
        <v>4.17</v>
      </c>
      <c r="G351" s="4">
        <v>5</v>
      </c>
      <c r="H351" s="4">
        <f>Sales_data[[#This Row],[Quantity]]*Sales_data[[#This Row],[Base Price (PHP)]]</f>
        <v>69.150000000000006</v>
      </c>
      <c r="I351" s="4">
        <f>Sales_data[[#This Row],[Selling Price (PHP)]]*Sales_data[[#This Row],[Quantity]]</f>
        <v>90</v>
      </c>
      <c r="J351" s="4">
        <f>Sales_data[[#This Row],[Revenue]]*Sales_data[[#This Row],[Quantity]]</f>
        <v>20.85</v>
      </c>
      <c r="K351" s="4" t="s">
        <v>429</v>
      </c>
    </row>
    <row r="352" spans="1:11" x14ac:dyDescent="0.25">
      <c r="A352" s="3">
        <v>45122</v>
      </c>
      <c r="B352" s="1" t="s">
        <v>81</v>
      </c>
      <c r="C352" s="1" t="s">
        <v>121</v>
      </c>
      <c r="D352" s="4">
        <v>3.15</v>
      </c>
      <c r="E352" s="4">
        <v>5</v>
      </c>
      <c r="F352" s="4">
        <f>Sales_data[[#This Row],[Selling Price (PHP)]]-Sales_data[[#This Row],[Base Price (PHP)]]</f>
        <v>1.85</v>
      </c>
      <c r="G352" s="4">
        <v>6</v>
      </c>
      <c r="H352" s="4">
        <f>Sales_data[[#This Row],[Quantity]]*Sales_data[[#This Row],[Base Price (PHP)]]</f>
        <v>18.899999999999999</v>
      </c>
      <c r="I352" s="4">
        <f>Sales_data[[#This Row],[Selling Price (PHP)]]*Sales_data[[#This Row],[Quantity]]</f>
        <v>30</v>
      </c>
      <c r="J352" s="4">
        <f>Sales_data[[#This Row],[Revenue]]*Sales_data[[#This Row],[Quantity]]</f>
        <v>11.100000000000001</v>
      </c>
      <c r="K352" s="4" t="s">
        <v>430</v>
      </c>
    </row>
    <row r="353" spans="1:11" x14ac:dyDescent="0.25">
      <c r="A353" s="3">
        <v>45123</v>
      </c>
      <c r="B353" s="1" t="s">
        <v>7</v>
      </c>
      <c r="C353" s="1" t="s">
        <v>89</v>
      </c>
      <c r="D353" s="4">
        <v>12</v>
      </c>
      <c r="E353" s="4">
        <v>17</v>
      </c>
      <c r="F353" s="4">
        <f>Sales_data[[#This Row],[Selling Price (PHP)]]-Sales_data[[#This Row],[Base Price (PHP)]]</f>
        <v>5</v>
      </c>
      <c r="G353" s="4">
        <v>8</v>
      </c>
      <c r="H353" s="4">
        <f>Sales_data[[#This Row],[Quantity]]*Sales_data[[#This Row],[Base Price (PHP)]]</f>
        <v>96</v>
      </c>
      <c r="I353" s="4">
        <f>Sales_data[[#This Row],[Selling Price (PHP)]]*Sales_data[[#This Row],[Quantity]]</f>
        <v>136</v>
      </c>
      <c r="J353" s="4">
        <f>Sales_data[[#This Row],[Revenue]]*Sales_data[[#This Row],[Quantity]]</f>
        <v>40</v>
      </c>
      <c r="K353" s="4" t="s">
        <v>431</v>
      </c>
    </row>
    <row r="354" spans="1:11" x14ac:dyDescent="0.25">
      <c r="A354" s="3">
        <v>45124</v>
      </c>
      <c r="B354" s="1" t="s">
        <v>30</v>
      </c>
      <c r="C354" s="1" t="s">
        <v>125</v>
      </c>
      <c r="D354" s="4">
        <v>12.33</v>
      </c>
      <c r="E354" s="4">
        <v>17</v>
      </c>
      <c r="F354" s="4">
        <f>Sales_data[[#This Row],[Selling Price (PHP)]]-Sales_data[[#This Row],[Base Price (PHP)]]</f>
        <v>4.67</v>
      </c>
      <c r="G354" s="4">
        <v>6</v>
      </c>
      <c r="H354" s="4">
        <f>Sales_data[[#This Row],[Quantity]]*Sales_data[[#This Row],[Base Price (PHP)]]</f>
        <v>73.98</v>
      </c>
      <c r="I354" s="4">
        <f>Sales_data[[#This Row],[Selling Price (PHP)]]*Sales_data[[#This Row],[Quantity]]</f>
        <v>102</v>
      </c>
      <c r="J354" s="4">
        <f>Sales_data[[#This Row],[Revenue]]*Sales_data[[#This Row],[Quantity]]</f>
        <v>28.02</v>
      </c>
      <c r="K354" s="4" t="s">
        <v>432</v>
      </c>
    </row>
    <row r="355" spans="1:11" x14ac:dyDescent="0.25">
      <c r="A355" s="3">
        <v>45124</v>
      </c>
      <c r="B355" s="1" t="s">
        <v>21</v>
      </c>
      <c r="C355" s="1" t="s">
        <v>28</v>
      </c>
      <c r="D355" s="4">
        <v>21.17</v>
      </c>
      <c r="E355" s="4">
        <v>25</v>
      </c>
      <c r="F355" s="4">
        <f>Sales_data[[#This Row],[Selling Price (PHP)]]-Sales_data[[#This Row],[Base Price (PHP)]]</f>
        <v>3.8299999999999983</v>
      </c>
      <c r="G355" s="4">
        <v>10</v>
      </c>
      <c r="H355" s="4">
        <f>Sales_data[[#This Row],[Quantity]]*Sales_data[[#This Row],[Base Price (PHP)]]</f>
        <v>211.70000000000002</v>
      </c>
      <c r="I355" s="4">
        <f>Sales_data[[#This Row],[Selling Price (PHP)]]*Sales_data[[#This Row],[Quantity]]</f>
        <v>250</v>
      </c>
      <c r="J355" s="4">
        <f>Sales_data[[#This Row],[Revenue]]*Sales_data[[#This Row],[Quantity]]</f>
        <v>38.299999999999983</v>
      </c>
      <c r="K355" s="4" t="s">
        <v>433</v>
      </c>
    </row>
    <row r="356" spans="1:11" x14ac:dyDescent="0.25">
      <c r="A356" s="3">
        <v>45125</v>
      </c>
      <c r="B356" s="1" t="s">
        <v>91</v>
      </c>
      <c r="C356" s="1" t="s">
        <v>179</v>
      </c>
      <c r="D356" s="4">
        <v>14.7</v>
      </c>
      <c r="E356" s="4">
        <v>19</v>
      </c>
      <c r="F356" s="4">
        <f>Sales_data[[#This Row],[Selling Price (PHP)]]-Sales_data[[#This Row],[Base Price (PHP)]]</f>
        <v>4.3000000000000007</v>
      </c>
      <c r="G356" s="4">
        <v>4</v>
      </c>
      <c r="H356" s="4">
        <f>Sales_data[[#This Row],[Quantity]]*Sales_data[[#This Row],[Base Price (PHP)]]</f>
        <v>58.8</v>
      </c>
      <c r="I356" s="4">
        <f>Sales_data[[#This Row],[Selling Price (PHP)]]*Sales_data[[#This Row],[Quantity]]</f>
        <v>76</v>
      </c>
      <c r="J356" s="4">
        <f>Sales_data[[#This Row],[Revenue]]*Sales_data[[#This Row],[Quantity]]</f>
        <v>17.200000000000003</v>
      </c>
      <c r="K356" s="4" t="s">
        <v>434</v>
      </c>
    </row>
    <row r="357" spans="1:11" x14ac:dyDescent="0.25">
      <c r="A357" s="3">
        <v>45125</v>
      </c>
      <c r="B357" s="1" t="s">
        <v>45</v>
      </c>
      <c r="C357" s="1" t="s">
        <v>46</v>
      </c>
      <c r="D357" s="4">
        <v>12</v>
      </c>
      <c r="E357" s="4">
        <v>17</v>
      </c>
      <c r="F357" s="4">
        <f>Sales_data[[#This Row],[Selling Price (PHP)]]-Sales_data[[#This Row],[Base Price (PHP)]]</f>
        <v>5</v>
      </c>
      <c r="G357" s="4">
        <v>7</v>
      </c>
      <c r="H357" s="4">
        <f>Sales_data[[#This Row],[Quantity]]*Sales_data[[#This Row],[Base Price (PHP)]]</f>
        <v>84</v>
      </c>
      <c r="I357" s="4">
        <f>Sales_data[[#This Row],[Selling Price (PHP)]]*Sales_data[[#This Row],[Quantity]]</f>
        <v>119</v>
      </c>
      <c r="J357" s="4">
        <f>Sales_data[[#This Row],[Revenue]]*Sales_data[[#This Row],[Quantity]]</f>
        <v>35</v>
      </c>
      <c r="K357" s="4" t="s">
        <v>435</v>
      </c>
    </row>
    <row r="358" spans="1:11" x14ac:dyDescent="0.25">
      <c r="A358" s="3">
        <v>45126</v>
      </c>
      <c r="B358" s="1" t="s">
        <v>18</v>
      </c>
      <c r="C358" s="1" t="s">
        <v>153</v>
      </c>
      <c r="D358" s="4">
        <v>12.5</v>
      </c>
      <c r="E358" s="4">
        <v>18</v>
      </c>
      <c r="F358" s="4">
        <f>Sales_data[[#This Row],[Selling Price (PHP)]]-Sales_data[[#This Row],[Base Price (PHP)]]</f>
        <v>5.5</v>
      </c>
      <c r="G358" s="4">
        <v>4</v>
      </c>
      <c r="H358" s="4">
        <f>Sales_data[[#This Row],[Quantity]]*Sales_data[[#This Row],[Base Price (PHP)]]</f>
        <v>50</v>
      </c>
      <c r="I358" s="4">
        <f>Sales_data[[#This Row],[Selling Price (PHP)]]*Sales_data[[#This Row],[Quantity]]</f>
        <v>72</v>
      </c>
      <c r="J358" s="4">
        <f>Sales_data[[#This Row],[Revenue]]*Sales_data[[#This Row],[Quantity]]</f>
        <v>22</v>
      </c>
      <c r="K358" s="4" t="s">
        <v>436</v>
      </c>
    </row>
    <row r="359" spans="1:11" x14ac:dyDescent="0.25">
      <c r="A359" s="3">
        <v>45126</v>
      </c>
      <c r="B359" s="1" t="s">
        <v>18</v>
      </c>
      <c r="C359" s="1" t="s">
        <v>355</v>
      </c>
      <c r="D359" s="4">
        <v>13.35</v>
      </c>
      <c r="E359" s="4">
        <v>19</v>
      </c>
      <c r="F359" s="4">
        <f>Sales_data[[#This Row],[Selling Price (PHP)]]-Sales_data[[#This Row],[Base Price (PHP)]]</f>
        <v>5.65</v>
      </c>
      <c r="G359" s="4">
        <v>8</v>
      </c>
      <c r="H359" s="4">
        <f>Sales_data[[#This Row],[Quantity]]*Sales_data[[#This Row],[Base Price (PHP)]]</f>
        <v>106.8</v>
      </c>
      <c r="I359" s="4">
        <f>Sales_data[[#This Row],[Selling Price (PHP)]]*Sales_data[[#This Row],[Quantity]]</f>
        <v>152</v>
      </c>
      <c r="J359" s="4">
        <f>Sales_data[[#This Row],[Revenue]]*Sales_data[[#This Row],[Quantity]]</f>
        <v>45.2</v>
      </c>
      <c r="K359" s="4" t="s">
        <v>437</v>
      </c>
    </row>
    <row r="360" spans="1:11" x14ac:dyDescent="0.25">
      <c r="A360" s="3">
        <v>45126</v>
      </c>
      <c r="B360" s="1" t="s">
        <v>21</v>
      </c>
      <c r="C360" s="1" t="s">
        <v>100</v>
      </c>
      <c r="D360" s="4">
        <v>16.170000000000002</v>
      </c>
      <c r="E360" s="4">
        <v>20</v>
      </c>
      <c r="F360" s="4">
        <f>Sales_data[[#This Row],[Selling Price (PHP)]]-Sales_data[[#This Row],[Base Price (PHP)]]</f>
        <v>3.8299999999999983</v>
      </c>
      <c r="G360" s="4">
        <v>5</v>
      </c>
      <c r="H360" s="4">
        <f>Sales_data[[#This Row],[Quantity]]*Sales_data[[#This Row],[Base Price (PHP)]]</f>
        <v>80.850000000000009</v>
      </c>
      <c r="I360" s="4">
        <f>Sales_data[[#This Row],[Selling Price (PHP)]]*Sales_data[[#This Row],[Quantity]]</f>
        <v>100</v>
      </c>
      <c r="J360" s="4">
        <f>Sales_data[[#This Row],[Revenue]]*Sales_data[[#This Row],[Quantity]]</f>
        <v>19.149999999999991</v>
      </c>
      <c r="K360" s="4" t="s">
        <v>438</v>
      </c>
    </row>
    <row r="361" spans="1:11" x14ac:dyDescent="0.25">
      <c r="A361" s="3">
        <v>45127</v>
      </c>
      <c r="B361" s="1" t="s">
        <v>81</v>
      </c>
      <c r="C361" s="1" t="s">
        <v>82</v>
      </c>
      <c r="D361" s="4">
        <v>1.25</v>
      </c>
      <c r="E361" s="4">
        <v>3</v>
      </c>
      <c r="F361" s="4">
        <f>Sales_data[[#This Row],[Selling Price (PHP)]]-Sales_data[[#This Row],[Base Price (PHP)]]</f>
        <v>1.75</v>
      </c>
      <c r="G361" s="4">
        <v>9</v>
      </c>
      <c r="H361" s="4">
        <f>Sales_data[[#This Row],[Quantity]]*Sales_data[[#This Row],[Base Price (PHP)]]</f>
        <v>11.25</v>
      </c>
      <c r="I361" s="4">
        <f>Sales_data[[#This Row],[Selling Price (PHP)]]*Sales_data[[#This Row],[Quantity]]</f>
        <v>27</v>
      </c>
      <c r="J361" s="4">
        <f>Sales_data[[#This Row],[Revenue]]*Sales_data[[#This Row],[Quantity]]</f>
        <v>15.75</v>
      </c>
      <c r="K361" s="4" t="s">
        <v>439</v>
      </c>
    </row>
    <row r="362" spans="1:11" x14ac:dyDescent="0.25">
      <c r="A362" s="3">
        <v>45128</v>
      </c>
      <c r="B362" s="1" t="s">
        <v>30</v>
      </c>
      <c r="C362" s="1" t="s">
        <v>31</v>
      </c>
      <c r="D362" s="4">
        <v>20.329999999999998</v>
      </c>
      <c r="E362" s="4">
        <v>25</v>
      </c>
      <c r="F362" s="4">
        <f>Sales_data[[#This Row],[Selling Price (PHP)]]-Sales_data[[#This Row],[Base Price (PHP)]]</f>
        <v>4.6700000000000017</v>
      </c>
      <c r="G362" s="4">
        <v>6</v>
      </c>
      <c r="H362" s="4">
        <f>Sales_data[[#This Row],[Quantity]]*Sales_data[[#This Row],[Base Price (PHP)]]</f>
        <v>121.97999999999999</v>
      </c>
      <c r="I362" s="4">
        <f>Sales_data[[#This Row],[Selling Price (PHP)]]*Sales_data[[#This Row],[Quantity]]</f>
        <v>150</v>
      </c>
      <c r="J362" s="4">
        <f>Sales_data[[#This Row],[Revenue]]*Sales_data[[#This Row],[Quantity]]</f>
        <v>28.02000000000001</v>
      </c>
      <c r="K362" s="4" t="s">
        <v>440</v>
      </c>
    </row>
    <row r="363" spans="1:11" x14ac:dyDescent="0.25">
      <c r="A363" s="3">
        <v>45128</v>
      </c>
      <c r="B363" s="1" t="s">
        <v>74</v>
      </c>
      <c r="C363" s="1" t="s">
        <v>78</v>
      </c>
      <c r="D363" s="4">
        <v>13</v>
      </c>
      <c r="E363" s="4">
        <v>18</v>
      </c>
      <c r="F363" s="4">
        <f>Sales_data[[#This Row],[Selling Price (PHP)]]-Sales_data[[#This Row],[Base Price (PHP)]]</f>
        <v>5</v>
      </c>
      <c r="G363" s="4">
        <v>9</v>
      </c>
      <c r="H363" s="4">
        <f>Sales_data[[#This Row],[Quantity]]*Sales_data[[#This Row],[Base Price (PHP)]]</f>
        <v>117</v>
      </c>
      <c r="I363" s="4">
        <f>Sales_data[[#This Row],[Selling Price (PHP)]]*Sales_data[[#This Row],[Quantity]]</f>
        <v>162</v>
      </c>
      <c r="J363" s="4">
        <f>Sales_data[[#This Row],[Revenue]]*Sales_data[[#This Row],[Quantity]]</f>
        <v>45</v>
      </c>
      <c r="K363" s="4" t="s">
        <v>441</v>
      </c>
    </row>
    <row r="364" spans="1:11" x14ac:dyDescent="0.25">
      <c r="A364" s="3">
        <v>45128</v>
      </c>
      <c r="B364" s="1" t="s">
        <v>7</v>
      </c>
      <c r="C364" s="1" t="s">
        <v>39</v>
      </c>
      <c r="D364" s="4">
        <v>7.83</v>
      </c>
      <c r="E364" s="4">
        <v>12</v>
      </c>
      <c r="F364" s="4">
        <f>Sales_data[[#This Row],[Selling Price (PHP)]]-Sales_data[[#This Row],[Base Price (PHP)]]</f>
        <v>4.17</v>
      </c>
      <c r="G364" s="4">
        <v>2</v>
      </c>
      <c r="H364" s="4">
        <f>Sales_data[[#This Row],[Quantity]]*Sales_data[[#This Row],[Base Price (PHP)]]</f>
        <v>15.66</v>
      </c>
      <c r="I364" s="4">
        <f>Sales_data[[#This Row],[Selling Price (PHP)]]*Sales_data[[#This Row],[Quantity]]</f>
        <v>24</v>
      </c>
      <c r="J364" s="4">
        <f>Sales_data[[#This Row],[Revenue]]*Sales_data[[#This Row],[Quantity]]</f>
        <v>8.34</v>
      </c>
      <c r="K364" s="4" t="s">
        <v>442</v>
      </c>
    </row>
    <row r="365" spans="1:11" x14ac:dyDescent="0.25">
      <c r="A365" s="3">
        <v>45129</v>
      </c>
      <c r="B365" s="1" t="s">
        <v>21</v>
      </c>
      <c r="C365" s="1" t="s">
        <v>112</v>
      </c>
      <c r="D365" s="4">
        <v>12.5</v>
      </c>
      <c r="E365" s="4">
        <v>16</v>
      </c>
      <c r="F365" s="4">
        <f>Sales_data[[#This Row],[Selling Price (PHP)]]-Sales_data[[#This Row],[Base Price (PHP)]]</f>
        <v>3.5</v>
      </c>
      <c r="G365" s="4">
        <v>6</v>
      </c>
      <c r="H365" s="4">
        <f>Sales_data[[#This Row],[Quantity]]*Sales_data[[#This Row],[Base Price (PHP)]]</f>
        <v>75</v>
      </c>
      <c r="I365" s="4">
        <f>Sales_data[[#This Row],[Selling Price (PHP)]]*Sales_data[[#This Row],[Quantity]]</f>
        <v>96</v>
      </c>
      <c r="J365" s="4">
        <f>Sales_data[[#This Row],[Revenue]]*Sales_data[[#This Row],[Quantity]]</f>
        <v>21</v>
      </c>
      <c r="K365" s="4" t="s">
        <v>443</v>
      </c>
    </row>
    <row r="366" spans="1:11" x14ac:dyDescent="0.25">
      <c r="A366" s="3">
        <v>45129</v>
      </c>
      <c r="B366" s="1" t="s">
        <v>21</v>
      </c>
      <c r="C366" s="1" t="s">
        <v>28</v>
      </c>
      <c r="D366" s="4">
        <v>21.17</v>
      </c>
      <c r="E366" s="4">
        <v>25</v>
      </c>
      <c r="F366" s="4">
        <f>Sales_data[[#This Row],[Selling Price (PHP)]]-Sales_data[[#This Row],[Base Price (PHP)]]</f>
        <v>3.8299999999999983</v>
      </c>
      <c r="G366" s="4">
        <v>6</v>
      </c>
      <c r="H366" s="4">
        <f>Sales_data[[#This Row],[Quantity]]*Sales_data[[#This Row],[Base Price (PHP)]]</f>
        <v>127.02000000000001</v>
      </c>
      <c r="I366" s="4">
        <f>Sales_data[[#This Row],[Selling Price (PHP)]]*Sales_data[[#This Row],[Quantity]]</f>
        <v>150</v>
      </c>
      <c r="J366" s="4">
        <f>Sales_data[[#This Row],[Revenue]]*Sales_data[[#This Row],[Quantity]]</f>
        <v>22.97999999999999</v>
      </c>
      <c r="K366" s="4" t="s">
        <v>444</v>
      </c>
    </row>
    <row r="367" spans="1:11" x14ac:dyDescent="0.25">
      <c r="A367" s="3">
        <v>45129</v>
      </c>
      <c r="B367" s="1" t="s">
        <v>7</v>
      </c>
      <c r="C367" s="1" t="s">
        <v>133</v>
      </c>
      <c r="D367" s="4">
        <v>10.25</v>
      </c>
      <c r="E367" s="4">
        <v>15</v>
      </c>
      <c r="F367" s="4">
        <f>Sales_data[[#This Row],[Selling Price (PHP)]]-Sales_data[[#This Row],[Base Price (PHP)]]</f>
        <v>4.75</v>
      </c>
      <c r="G367" s="4">
        <v>2</v>
      </c>
      <c r="H367" s="4">
        <f>Sales_data[[#This Row],[Quantity]]*Sales_data[[#This Row],[Base Price (PHP)]]</f>
        <v>20.5</v>
      </c>
      <c r="I367" s="4">
        <f>Sales_data[[#This Row],[Selling Price (PHP)]]*Sales_data[[#This Row],[Quantity]]</f>
        <v>30</v>
      </c>
      <c r="J367" s="4">
        <f>Sales_data[[#This Row],[Revenue]]*Sales_data[[#This Row],[Quantity]]</f>
        <v>9.5</v>
      </c>
      <c r="K367" s="4" t="s">
        <v>445</v>
      </c>
    </row>
    <row r="368" spans="1:11" x14ac:dyDescent="0.25">
      <c r="A368" s="3">
        <v>45129</v>
      </c>
      <c r="B368" s="1" t="s">
        <v>7</v>
      </c>
      <c r="C368" s="1" t="s">
        <v>133</v>
      </c>
      <c r="D368" s="4">
        <v>10.25</v>
      </c>
      <c r="E368" s="4">
        <v>15</v>
      </c>
      <c r="F368" s="4">
        <f>Sales_data[[#This Row],[Selling Price (PHP)]]-Sales_data[[#This Row],[Base Price (PHP)]]</f>
        <v>4.75</v>
      </c>
      <c r="G368" s="4">
        <v>9</v>
      </c>
      <c r="H368" s="4">
        <f>Sales_data[[#This Row],[Quantity]]*Sales_data[[#This Row],[Base Price (PHP)]]</f>
        <v>92.25</v>
      </c>
      <c r="I368" s="4">
        <f>Sales_data[[#This Row],[Selling Price (PHP)]]*Sales_data[[#This Row],[Quantity]]</f>
        <v>135</v>
      </c>
      <c r="J368" s="4">
        <f>Sales_data[[#This Row],[Revenue]]*Sales_data[[#This Row],[Quantity]]</f>
        <v>42.75</v>
      </c>
      <c r="K368" s="4" t="s">
        <v>446</v>
      </c>
    </row>
    <row r="369" spans="1:11" x14ac:dyDescent="0.25">
      <c r="A369" s="3">
        <v>45129</v>
      </c>
      <c r="B369" s="1" t="s">
        <v>7</v>
      </c>
      <c r="C369" s="1" t="s">
        <v>133</v>
      </c>
      <c r="D369" s="4">
        <v>10.25</v>
      </c>
      <c r="E369" s="4">
        <v>15</v>
      </c>
      <c r="F369" s="4">
        <f>Sales_data[[#This Row],[Selling Price (PHP)]]-Sales_data[[#This Row],[Base Price (PHP)]]</f>
        <v>4.75</v>
      </c>
      <c r="G369" s="4">
        <v>6</v>
      </c>
      <c r="H369" s="4">
        <f>Sales_data[[#This Row],[Quantity]]*Sales_data[[#This Row],[Base Price (PHP)]]</f>
        <v>61.5</v>
      </c>
      <c r="I369" s="4">
        <f>Sales_data[[#This Row],[Selling Price (PHP)]]*Sales_data[[#This Row],[Quantity]]</f>
        <v>90</v>
      </c>
      <c r="J369" s="4">
        <f>Sales_data[[#This Row],[Revenue]]*Sales_data[[#This Row],[Quantity]]</f>
        <v>28.5</v>
      </c>
      <c r="K369" s="4" t="s">
        <v>447</v>
      </c>
    </row>
    <row r="370" spans="1:11" x14ac:dyDescent="0.25">
      <c r="A370" s="3">
        <v>45129</v>
      </c>
      <c r="B370" s="1" t="s">
        <v>7</v>
      </c>
      <c r="C370" s="1" t="s">
        <v>133</v>
      </c>
      <c r="D370" s="4">
        <v>10.25</v>
      </c>
      <c r="E370" s="4">
        <v>15</v>
      </c>
      <c r="F370" s="4">
        <f>Sales_data[[#This Row],[Selling Price (PHP)]]-Sales_data[[#This Row],[Base Price (PHP)]]</f>
        <v>4.75</v>
      </c>
      <c r="G370" s="4">
        <v>4</v>
      </c>
      <c r="H370" s="4">
        <f>Sales_data[[#This Row],[Quantity]]*Sales_data[[#This Row],[Base Price (PHP)]]</f>
        <v>41</v>
      </c>
      <c r="I370" s="4">
        <f>Sales_data[[#This Row],[Selling Price (PHP)]]*Sales_data[[#This Row],[Quantity]]</f>
        <v>60</v>
      </c>
      <c r="J370" s="4">
        <f>Sales_data[[#This Row],[Revenue]]*Sales_data[[#This Row],[Quantity]]</f>
        <v>19</v>
      </c>
      <c r="K370" s="4" t="s">
        <v>448</v>
      </c>
    </row>
    <row r="371" spans="1:11" x14ac:dyDescent="0.25">
      <c r="A371" s="3">
        <v>45130</v>
      </c>
      <c r="B371" s="1" t="s">
        <v>18</v>
      </c>
      <c r="C371" s="1" t="s">
        <v>355</v>
      </c>
      <c r="D371" s="4">
        <v>13.35</v>
      </c>
      <c r="E371" s="4">
        <v>19</v>
      </c>
      <c r="F371" s="4">
        <f>Sales_data[[#This Row],[Selling Price (PHP)]]-Sales_data[[#This Row],[Base Price (PHP)]]</f>
        <v>5.65</v>
      </c>
      <c r="G371" s="4">
        <v>2</v>
      </c>
      <c r="H371" s="4">
        <f>Sales_data[[#This Row],[Quantity]]*Sales_data[[#This Row],[Base Price (PHP)]]</f>
        <v>26.7</v>
      </c>
      <c r="I371" s="4">
        <f>Sales_data[[#This Row],[Selling Price (PHP)]]*Sales_data[[#This Row],[Quantity]]</f>
        <v>38</v>
      </c>
      <c r="J371" s="4">
        <f>Sales_data[[#This Row],[Revenue]]*Sales_data[[#This Row],[Quantity]]</f>
        <v>11.3</v>
      </c>
      <c r="K371" s="4" t="s">
        <v>449</v>
      </c>
    </row>
    <row r="372" spans="1:11" x14ac:dyDescent="0.25">
      <c r="A372" s="3">
        <v>45131</v>
      </c>
      <c r="B372" s="1" t="s">
        <v>7</v>
      </c>
      <c r="C372" s="1" t="s">
        <v>68</v>
      </c>
      <c r="D372" s="4">
        <v>10.5</v>
      </c>
      <c r="E372" s="4">
        <v>15</v>
      </c>
      <c r="F372" s="4">
        <f>Sales_data[[#This Row],[Selling Price (PHP)]]-Sales_data[[#This Row],[Base Price (PHP)]]</f>
        <v>4.5</v>
      </c>
      <c r="G372" s="4">
        <v>5</v>
      </c>
      <c r="H372" s="4">
        <f>Sales_data[[#This Row],[Quantity]]*Sales_data[[#This Row],[Base Price (PHP)]]</f>
        <v>52.5</v>
      </c>
      <c r="I372" s="4">
        <f>Sales_data[[#This Row],[Selling Price (PHP)]]*Sales_data[[#This Row],[Quantity]]</f>
        <v>75</v>
      </c>
      <c r="J372" s="4">
        <f>Sales_data[[#This Row],[Revenue]]*Sales_data[[#This Row],[Quantity]]</f>
        <v>22.5</v>
      </c>
      <c r="K372" s="4" t="s">
        <v>450</v>
      </c>
    </row>
    <row r="373" spans="1:11" x14ac:dyDescent="0.25">
      <c r="A373" s="3">
        <v>45133</v>
      </c>
      <c r="B373" s="1" t="s">
        <v>14</v>
      </c>
      <c r="C373" s="1" t="s">
        <v>192</v>
      </c>
      <c r="D373" s="4">
        <v>12.5</v>
      </c>
      <c r="E373" s="4">
        <v>18</v>
      </c>
      <c r="F373" s="4">
        <f>Sales_data[[#This Row],[Selling Price (PHP)]]-Sales_data[[#This Row],[Base Price (PHP)]]</f>
        <v>5.5</v>
      </c>
      <c r="G373" s="4">
        <v>5</v>
      </c>
      <c r="H373" s="4">
        <f>Sales_data[[#This Row],[Quantity]]*Sales_data[[#This Row],[Base Price (PHP)]]</f>
        <v>62.5</v>
      </c>
      <c r="I373" s="4">
        <f>Sales_data[[#This Row],[Selling Price (PHP)]]*Sales_data[[#This Row],[Quantity]]</f>
        <v>90</v>
      </c>
      <c r="J373" s="4">
        <f>Sales_data[[#This Row],[Revenue]]*Sales_data[[#This Row],[Quantity]]</f>
        <v>27.5</v>
      </c>
      <c r="K373" s="4" t="s">
        <v>451</v>
      </c>
    </row>
    <row r="374" spans="1:11" x14ac:dyDescent="0.25">
      <c r="A374" s="3">
        <v>45133</v>
      </c>
      <c r="B374" s="1" t="s">
        <v>14</v>
      </c>
      <c r="C374" s="1" t="s">
        <v>192</v>
      </c>
      <c r="D374" s="4">
        <v>12.5</v>
      </c>
      <c r="E374" s="4">
        <v>18</v>
      </c>
      <c r="F374" s="4">
        <f>Sales_data[[#This Row],[Selling Price (PHP)]]-Sales_data[[#This Row],[Base Price (PHP)]]</f>
        <v>5.5</v>
      </c>
      <c r="G374" s="4">
        <v>9</v>
      </c>
      <c r="H374" s="4">
        <f>Sales_data[[#This Row],[Quantity]]*Sales_data[[#This Row],[Base Price (PHP)]]</f>
        <v>112.5</v>
      </c>
      <c r="I374" s="4">
        <f>Sales_data[[#This Row],[Selling Price (PHP)]]*Sales_data[[#This Row],[Quantity]]</f>
        <v>162</v>
      </c>
      <c r="J374" s="4">
        <f>Sales_data[[#This Row],[Revenue]]*Sales_data[[#This Row],[Quantity]]</f>
        <v>49.5</v>
      </c>
      <c r="K374" s="4" t="s">
        <v>452</v>
      </c>
    </row>
    <row r="375" spans="1:11" x14ac:dyDescent="0.25">
      <c r="A375" s="3">
        <v>45134</v>
      </c>
      <c r="B375" s="1" t="s">
        <v>18</v>
      </c>
      <c r="C375" s="1" t="s">
        <v>153</v>
      </c>
      <c r="D375" s="4">
        <v>12.5</v>
      </c>
      <c r="E375" s="4">
        <v>18</v>
      </c>
      <c r="F375" s="4">
        <f>Sales_data[[#This Row],[Selling Price (PHP)]]-Sales_data[[#This Row],[Base Price (PHP)]]</f>
        <v>5.5</v>
      </c>
      <c r="G375" s="4">
        <v>3</v>
      </c>
      <c r="H375" s="4">
        <f>Sales_data[[#This Row],[Quantity]]*Sales_data[[#This Row],[Base Price (PHP)]]</f>
        <v>37.5</v>
      </c>
      <c r="I375" s="4">
        <f>Sales_data[[#This Row],[Selling Price (PHP)]]*Sales_data[[#This Row],[Quantity]]</f>
        <v>54</v>
      </c>
      <c r="J375" s="4">
        <f>Sales_data[[#This Row],[Revenue]]*Sales_data[[#This Row],[Quantity]]</f>
        <v>16.5</v>
      </c>
      <c r="K375" s="4" t="s">
        <v>453</v>
      </c>
    </row>
    <row r="376" spans="1:11" x14ac:dyDescent="0.25">
      <c r="A376" s="3">
        <v>45136</v>
      </c>
      <c r="B376" s="1" t="s">
        <v>91</v>
      </c>
      <c r="C376" s="1" t="s">
        <v>397</v>
      </c>
      <c r="D376" s="4">
        <v>14</v>
      </c>
      <c r="E376" s="4">
        <v>19</v>
      </c>
      <c r="F376" s="4">
        <f>Sales_data[[#This Row],[Selling Price (PHP)]]-Sales_data[[#This Row],[Base Price (PHP)]]</f>
        <v>5</v>
      </c>
      <c r="G376" s="4">
        <v>9</v>
      </c>
      <c r="H376" s="4">
        <f>Sales_data[[#This Row],[Quantity]]*Sales_data[[#This Row],[Base Price (PHP)]]</f>
        <v>126</v>
      </c>
      <c r="I376" s="4">
        <f>Sales_data[[#This Row],[Selling Price (PHP)]]*Sales_data[[#This Row],[Quantity]]</f>
        <v>171</v>
      </c>
      <c r="J376" s="4">
        <f>Sales_data[[#This Row],[Revenue]]*Sales_data[[#This Row],[Quantity]]</f>
        <v>45</v>
      </c>
      <c r="K376" s="4" t="s">
        <v>454</v>
      </c>
    </row>
    <row r="377" spans="1:11" x14ac:dyDescent="0.25">
      <c r="A377" s="3">
        <v>45136</v>
      </c>
      <c r="B377" s="1" t="s">
        <v>7</v>
      </c>
      <c r="C377" s="1" t="s">
        <v>89</v>
      </c>
      <c r="D377" s="4">
        <v>12</v>
      </c>
      <c r="E377" s="4">
        <v>17</v>
      </c>
      <c r="F377" s="4">
        <f>Sales_data[[#This Row],[Selling Price (PHP)]]-Sales_data[[#This Row],[Base Price (PHP)]]</f>
        <v>5</v>
      </c>
      <c r="G377" s="4">
        <v>7</v>
      </c>
      <c r="H377" s="4">
        <f>Sales_data[[#This Row],[Quantity]]*Sales_data[[#This Row],[Base Price (PHP)]]</f>
        <v>84</v>
      </c>
      <c r="I377" s="4">
        <f>Sales_data[[#This Row],[Selling Price (PHP)]]*Sales_data[[#This Row],[Quantity]]</f>
        <v>119</v>
      </c>
      <c r="J377" s="4">
        <f>Sales_data[[#This Row],[Revenue]]*Sales_data[[#This Row],[Quantity]]</f>
        <v>35</v>
      </c>
      <c r="K377" s="4" t="s">
        <v>455</v>
      </c>
    </row>
    <row r="378" spans="1:11" x14ac:dyDescent="0.25">
      <c r="A378" s="3">
        <v>45137</v>
      </c>
      <c r="B378" s="1" t="s">
        <v>71</v>
      </c>
      <c r="C378" s="1" t="s">
        <v>72</v>
      </c>
      <c r="D378" s="4">
        <v>22</v>
      </c>
      <c r="E378" s="4">
        <v>27</v>
      </c>
      <c r="F378" s="4">
        <f>Sales_data[[#This Row],[Selling Price (PHP)]]-Sales_data[[#This Row],[Base Price (PHP)]]</f>
        <v>5</v>
      </c>
      <c r="G378" s="4">
        <v>2</v>
      </c>
      <c r="H378" s="4">
        <f>Sales_data[[#This Row],[Quantity]]*Sales_data[[#This Row],[Base Price (PHP)]]</f>
        <v>44</v>
      </c>
      <c r="I378" s="4">
        <f>Sales_data[[#This Row],[Selling Price (PHP)]]*Sales_data[[#This Row],[Quantity]]</f>
        <v>54</v>
      </c>
      <c r="J378" s="4">
        <f>Sales_data[[#This Row],[Revenue]]*Sales_data[[#This Row],[Quantity]]</f>
        <v>10</v>
      </c>
      <c r="K378" s="4" t="s">
        <v>456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9CEFA-77B0-4EF8-995E-287904B5123B}">
  <dimension ref="C2:V299"/>
  <sheetViews>
    <sheetView topLeftCell="E32" workbookViewId="0">
      <selection activeCell="O50" sqref="O50"/>
    </sheetView>
  </sheetViews>
  <sheetFormatPr defaultRowHeight="15.75" x14ac:dyDescent="0.25"/>
  <cols>
    <col min="3" max="3" width="12.125" bestFit="1" customWidth="1"/>
    <col min="4" max="4" width="15.875" bestFit="1" customWidth="1"/>
    <col min="14" max="14" width="12.125" bestFit="1" customWidth="1"/>
    <col min="15" max="15" width="15.875" style="5" bestFit="1" customWidth="1"/>
    <col min="16" max="16" width="18.75" style="5" bestFit="1" customWidth="1"/>
    <col min="17" max="17" width="11" customWidth="1"/>
    <col min="18" max="18" width="20.375" bestFit="1" customWidth="1"/>
    <col min="19" max="19" width="15.875" style="34" bestFit="1" customWidth="1"/>
    <col min="20" max="20" width="18.75" bestFit="1" customWidth="1"/>
    <col min="21" max="21" width="20.625" bestFit="1" customWidth="1"/>
    <col min="22" max="22" width="23.5" bestFit="1" customWidth="1"/>
    <col min="23" max="23" width="12.625" bestFit="1" customWidth="1"/>
    <col min="24" max="24" width="15.375" bestFit="1" customWidth="1"/>
    <col min="25" max="25" width="20.375" bestFit="1" customWidth="1"/>
    <col min="26" max="26" width="10.25" bestFit="1" customWidth="1"/>
    <col min="27" max="27" width="11.75" bestFit="1" customWidth="1"/>
    <col min="28" max="28" width="13.75" bestFit="1" customWidth="1"/>
    <col min="29" max="29" width="12.625" bestFit="1" customWidth="1"/>
    <col min="30" max="30" width="13.75" bestFit="1" customWidth="1"/>
    <col min="31" max="31" width="15" bestFit="1" customWidth="1"/>
    <col min="32" max="32" width="10.375" bestFit="1" customWidth="1"/>
    <col min="33" max="77" width="21.625" bestFit="1" customWidth="1"/>
    <col min="78" max="79" width="10.375" bestFit="1" customWidth="1"/>
  </cols>
  <sheetData>
    <row r="2" spans="3:19" x14ac:dyDescent="0.25">
      <c r="C2" s="10" t="s">
        <v>460</v>
      </c>
      <c r="D2" s="11" t="s">
        <v>462</v>
      </c>
    </row>
    <row r="3" spans="3:19" x14ac:dyDescent="0.25">
      <c r="C3" s="16" t="s">
        <v>473</v>
      </c>
      <c r="D3" s="13">
        <v>144</v>
      </c>
      <c r="N3" s="10" t="s">
        <v>460</v>
      </c>
      <c r="O3" s="23" t="s">
        <v>464</v>
      </c>
      <c r="P3" s="30" t="s">
        <v>462</v>
      </c>
    </row>
    <row r="4" spans="3:19" x14ac:dyDescent="0.25">
      <c r="C4" s="17" t="s">
        <v>474</v>
      </c>
      <c r="D4" s="18">
        <v>40</v>
      </c>
      <c r="N4" s="12" t="s">
        <v>7</v>
      </c>
      <c r="O4" s="24">
        <v>92</v>
      </c>
      <c r="P4" s="31">
        <v>1450</v>
      </c>
      <c r="R4" s="39" t="s">
        <v>466</v>
      </c>
      <c r="S4" s="40">
        <f>LARGE(O4:O16,1)</f>
        <v>92</v>
      </c>
    </row>
    <row r="5" spans="3:19" x14ac:dyDescent="0.25">
      <c r="C5" s="17" t="s">
        <v>475</v>
      </c>
      <c r="D5" s="18">
        <v>60</v>
      </c>
      <c r="N5" s="20" t="s">
        <v>24</v>
      </c>
      <c r="O5" s="26">
        <v>30</v>
      </c>
      <c r="P5" s="32">
        <v>396</v>
      </c>
      <c r="R5" s="39"/>
      <c r="S5" s="40">
        <f>MATCH($S$4,$O$4:$O$16,0)</f>
        <v>1</v>
      </c>
    </row>
    <row r="6" spans="3:19" x14ac:dyDescent="0.25">
      <c r="C6" s="17" t="s">
        <v>476</v>
      </c>
      <c r="D6" s="18">
        <v>56</v>
      </c>
      <c r="N6" s="20" t="s">
        <v>45</v>
      </c>
      <c r="O6" s="26">
        <v>15</v>
      </c>
      <c r="P6" s="32">
        <v>303</v>
      </c>
      <c r="R6" s="39" t="s">
        <v>467</v>
      </c>
      <c r="S6" s="40" t="str">
        <f>INDEX($N$4:$N$16,S5,1)</f>
        <v xml:space="preserve">Beverages </v>
      </c>
    </row>
    <row r="7" spans="3:19" x14ac:dyDescent="0.25">
      <c r="C7" s="17" t="s">
        <v>477</v>
      </c>
      <c r="D7" s="18">
        <v>664</v>
      </c>
      <c r="N7" s="20" t="s">
        <v>81</v>
      </c>
      <c r="O7" s="26">
        <v>16</v>
      </c>
      <c r="P7" s="32">
        <v>78</v>
      </c>
      <c r="R7" s="39"/>
      <c r="S7" s="40"/>
    </row>
    <row r="8" spans="3:19" x14ac:dyDescent="0.25">
      <c r="C8" s="17" t="s">
        <v>478</v>
      </c>
      <c r="D8" s="18">
        <v>150</v>
      </c>
      <c r="N8" s="20" t="s">
        <v>10</v>
      </c>
      <c r="O8" s="26">
        <v>34</v>
      </c>
      <c r="P8" s="32">
        <v>1181</v>
      </c>
      <c r="R8" s="39" t="s">
        <v>468</v>
      </c>
      <c r="S8" s="40">
        <f>GETPIVOTDATA("Sum of Total Sales",$N$3)</f>
        <v>9162</v>
      </c>
    </row>
    <row r="9" spans="3:19" x14ac:dyDescent="0.25">
      <c r="C9" s="17" t="s">
        <v>479</v>
      </c>
      <c r="D9" s="18">
        <v>109</v>
      </c>
      <c r="N9" s="20" t="s">
        <v>21</v>
      </c>
      <c r="O9" s="26">
        <v>22</v>
      </c>
      <c r="P9" s="32">
        <v>421</v>
      </c>
    </row>
    <row r="10" spans="3:19" x14ac:dyDescent="0.25">
      <c r="C10" s="17" t="s">
        <v>480</v>
      </c>
      <c r="D10" s="18">
        <v>756</v>
      </c>
      <c r="N10" s="20" t="s">
        <v>91</v>
      </c>
      <c r="O10" s="26">
        <v>22</v>
      </c>
      <c r="P10" s="32">
        <v>575</v>
      </c>
    </row>
    <row r="11" spans="3:19" x14ac:dyDescent="0.25">
      <c r="C11" s="17" t="s">
        <v>481</v>
      </c>
      <c r="D11" s="18">
        <v>207</v>
      </c>
      <c r="N11" s="20" t="s">
        <v>74</v>
      </c>
      <c r="O11" s="26">
        <v>16</v>
      </c>
      <c r="P11" s="32">
        <v>707</v>
      </c>
    </row>
    <row r="12" spans="3:19" x14ac:dyDescent="0.25">
      <c r="C12" s="17" t="s">
        <v>482</v>
      </c>
      <c r="D12" s="18">
        <v>491</v>
      </c>
      <c r="N12" s="20" t="s">
        <v>71</v>
      </c>
      <c r="O12" s="26">
        <v>16</v>
      </c>
      <c r="P12" s="32">
        <v>649</v>
      </c>
    </row>
    <row r="13" spans="3:19" x14ac:dyDescent="0.25">
      <c r="C13" s="17" t="s">
        <v>483</v>
      </c>
      <c r="D13" s="18">
        <v>348</v>
      </c>
      <c r="N13" s="20" t="s">
        <v>14</v>
      </c>
      <c r="O13" s="26">
        <v>38</v>
      </c>
      <c r="P13" s="32">
        <v>704</v>
      </c>
    </row>
    <row r="14" spans="3:19" x14ac:dyDescent="0.25">
      <c r="C14" s="17" t="s">
        <v>484</v>
      </c>
      <c r="D14" s="18">
        <v>189</v>
      </c>
      <c r="N14" s="20" t="s">
        <v>18</v>
      </c>
      <c r="O14" s="26">
        <v>36</v>
      </c>
      <c r="P14" s="32">
        <v>756</v>
      </c>
    </row>
    <row r="15" spans="3:19" x14ac:dyDescent="0.25">
      <c r="C15" s="17" t="s">
        <v>485</v>
      </c>
      <c r="D15" s="18">
        <v>610</v>
      </c>
      <c r="N15" s="20" t="s">
        <v>48</v>
      </c>
      <c r="O15" s="26">
        <v>28</v>
      </c>
      <c r="P15" s="32">
        <v>1191</v>
      </c>
    </row>
    <row r="16" spans="3:19" x14ac:dyDescent="0.25">
      <c r="C16" s="17" t="s">
        <v>486</v>
      </c>
      <c r="D16" s="18">
        <v>440</v>
      </c>
      <c r="N16" s="20" t="s">
        <v>30</v>
      </c>
      <c r="O16" s="26">
        <v>32</v>
      </c>
      <c r="P16" s="32">
        <v>751</v>
      </c>
    </row>
    <row r="17" spans="3:22" x14ac:dyDescent="0.25">
      <c r="C17" s="17" t="s">
        <v>487</v>
      </c>
      <c r="D17" s="18">
        <v>120</v>
      </c>
      <c r="N17" s="14" t="s">
        <v>461</v>
      </c>
      <c r="O17" s="28">
        <v>397</v>
      </c>
      <c r="P17" s="33">
        <v>9162</v>
      </c>
    </row>
    <row r="18" spans="3:22" x14ac:dyDescent="0.25">
      <c r="C18" s="17" t="s">
        <v>488</v>
      </c>
      <c r="D18" s="18">
        <v>288</v>
      </c>
    </row>
    <row r="19" spans="3:22" x14ac:dyDescent="0.25">
      <c r="C19" s="17" t="s">
        <v>489</v>
      </c>
      <c r="D19" s="18">
        <v>485</v>
      </c>
    </row>
    <row r="20" spans="3:22" x14ac:dyDescent="0.25">
      <c r="C20" s="17" t="s">
        <v>490</v>
      </c>
      <c r="D20" s="18">
        <v>234</v>
      </c>
      <c r="N20" s="10" t="s">
        <v>460</v>
      </c>
      <c r="O20" s="6" t="s">
        <v>462</v>
      </c>
      <c r="P20" s="22" t="s">
        <v>465</v>
      </c>
      <c r="Q20" s="21"/>
      <c r="R20" s="6"/>
      <c r="S20" s="10" t="s">
        <v>469</v>
      </c>
      <c r="T20" s="7"/>
      <c r="U20" s="7"/>
      <c r="V20" s="8"/>
    </row>
    <row r="21" spans="3:22" x14ac:dyDescent="0.25">
      <c r="C21" s="17" t="s">
        <v>491</v>
      </c>
      <c r="D21" s="18">
        <v>36</v>
      </c>
      <c r="N21" s="16" t="s">
        <v>473</v>
      </c>
      <c r="O21" s="24">
        <v>144</v>
      </c>
      <c r="P21" s="25">
        <v>33.36</v>
      </c>
      <c r="R21" s="9"/>
      <c r="S21" s="6" t="s">
        <v>462</v>
      </c>
      <c r="T21" s="6" t="s">
        <v>465</v>
      </c>
      <c r="U21" s="6" t="s">
        <v>470</v>
      </c>
      <c r="V21" s="11" t="s">
        <v>471</v>
      </c>
    </row>
    <row r="22" spans="3:22" x14ac:dyDescent="0.25">
      <c r="C22" s="17" t="s">
        <v>492</v>
      </c>
      <c r="D22" s="18">
        <v>576</v>
      </c>
      <c r="N22" s="17" t="s">
        <v>474</v>
      </c>
      <c r="O22" s="26">
        <v>40</v>
      </c>
      <c r="P22" s="27">
        <v>7.6599999999999966</v>
      </c>
      <c r="R22" s="10" t="s">
        <v>460</v>
      </c>
      <c r="S22" s="6" t="s">
        <v>502</v>
      </c>
      <c r="T22" s="6" t="s">
        <v>502</v>
      </c>
      <c r="U22" s="9"/>
      <c r="V22" s="35"/>
    </row>
    <row r="23" spans="3:22" x14ac:dyDescent="0.25">
      <c r="C23" s="17" t="s">
        <v>493</v>
      </c>
      <c r="D23" s="18">
        <v>285</v>
      </c>
      <c r="N23" s="17" t="s">
        <v>475</v>
      </c>
      <c r="O23" s="26">
        <v>60</v>
      </c>
      <c r="P23" s="27">
        <v>11.489999999999995</v>
      </c>
      <c r="R23" s="12" t="s">
        <v>7</v>
      </c>
      <c r="S23" s="24">
        <v>1450</v>
      </c>
      <c r="T23" s="24">
        <v>445.61000000000007</v>
      </c>
      <c r="U23" s="24">
        <v>1450</v>
      </c>
      <c r="V23" s="36">
        <v>445.61000000000007</v>
      </c>
    </row>
    <row r="24" spans="3:22" x14ac:dyDescent="0.25">
      <c r="C24" s="17" t="s">
        <v>494</v>
      </c>
      <c r="D24" s="18">
        <v>261</v>
      </c>
      <c r="N24" s="17" t="s">
        <v>476</v>
      </c>
      <c r="O24" s="26">
        <v>56</v>
      </c>
      <c r="P24" s="27">
        <v>15</v>
      </c>
      <c r="R24" s="20" t="s">
        <v>24</v>
      </c>
      <c r="S24" s="26">
        <v>396</v>
      </c>
      <c r="T24" s="26">
        <v>141.93</v>
      </c>
      <c r="U24" s="26">
        <v>396</v>
      </c>
      <c r="V24" s="38">
        <v>141.93</v>
      </c>
    </row>
    <row r="25" spans="3:22" x14ac:dyDescent="0.25">
      <c r="C25" s="17" t="s">
        <v>495</v>
      </c>
      <c r="D25" s="18">
        <v>276</v>
      </c>
      <c r="N25" s="17" t="s">
        <v>477</v>
      </c>
      <c r="O25" s="26">
        <v>664</v>
      </c>
      <c r="P25" s="27">
        <v>102.02000000000001</v>
      </c>
      <c r="R25" s="20" t="s">
        <v>45</v>
      </c>
      <c r="S25" s="26">
        <v>303</v>
      </c>
      <c r="T25" s="26">
        <v>73.5</v>
      </c>
      <c r="U25" s="26">
        <v>303</v>
      </c>
      <c r="V25" s="38">
        <v>73.5</v>
      </c>
    </row>
    <row r="26" spans="3:22" x14ac:dyDescent="0.25">
      <c r="C26" s="17" t="s">
        <v>496</v>
      </c>
      <c r="D26" s="18">
        <v>38</v>
      </c>
      <c r="N26" s="17" t="s">
        <v>478</v>
      </c>
      <c r="O26" s="26">
        <v>150</v>
      </c>
      <c r="P26" s="27">
        <v>42</v>
      </c>
      <c r="R26" s="20" t="s">
        <v>81</v>
      </c>
      <c r="S26" s="26">
        <v>78</v>
      </c>
      <c r="T26" s="26">
        <v>29</v>
      </c>
      <c r="U26" s="26">
        <v>78</v>
      </c>
      <c r="V26" s="38">
        <v>29</v>
      </c>
    </row>
    <row r="27" spans="3:22" x14ac:dyDescent="0.25">
      <c r="C27" s="17" t="s">
        <v>497</v>
      </c>
      <c r="D27" s="18">
        <v>779</v>
      </c>
      <c r="N27" s="17" t="s">
        <v>479</v>
      </c>
      <c r="O27" s="26">
        <v>109</v>
      </c>
      <c r="P27" s="27">
        <v>27.159999999999997</v>
      </c>
      <c r="R27" s="20" t="s">
        <v>10</v>
      </c>
      <c r="S27" s="26">
        <v>1181</v>
      </c>
      <c r="T27" s="26">
        <v>250.20999999999998</v>
      </c>
      <c r="U27" s="26">
        <v>1181</v>
      </c>
      <c r="V27" s="38">
        <v>250.20999999999998</v>
      </c>
    </row>
    <row r="28" spans="3:22" x14ac:dyDescent="0.25">
      <c r="C28" s="17" t="s">
        <v>498</v>
      </c>
      <c r="D28" s="18">
        <v>401</v>
      </c>
      <c r="N28" s="17" t="s">
        <v>480</v>
      </c>
      <c r="O28" s="26">
        <v>756</v>
      </c>
      <c r="P28" s="27">
        <v>168.28</v>
      </c>
      <c r="R28" s="20" t="s">
        <v>21</v>
      </c>
      <c r="S28" s="26">
        <v>421</v>
      </c>
      <c r="T28" s="26">
        <v>90.649999999999991</v>
      </c>
      <c r="U28" s="26">
        <v>421</v>
      </c>
      <c r="V28" s="38">
        <v>90.649999999999991</v>
      </c>
    </row>
    <row r="29" spans="3:22" x14ac:dyDescent="0.25">
      <c r="C29" s="17" t="s">
        <v>499</v>
      </c>
      <c r="D29" s="18">
        <v>442</v>
      </c>
      <c r="N29" s="17" t="s">
        <v>481</v>
      </c>
      <c r="O29" s="26">
        <v>207</v>
      </c>
      <c r="P29" s="27">
        <v>40.5</v>
      </c>
      <c r="R29" s="20" t="s">
        <v>91</v>
      </c>
      <c r="S29" s="26">
        <v>575</v>
      </c>
      <c r="T29" s="26">
        <v>154.25</v>
      </c>
      <c r="U29" s="26">
        <v>575</v>
      </c>
      <c r="V29" s="38">
        <v>154.25</v>
      </c>
    </row>
    <row r="30" spans="3:22" x14ac:dyDescent="0.25">
      <c r="C30" s="17" t="s">
        <v>500</v>
      </c>
      <c r="D30" s="18">
        <v>200</v>
      </c>
      <c r="N30" s="17" t="s">
        <v>482</v>
      </c>
      <c r="O30" s="26">
        <v>491</v>
      </c>
      <c r="P30" s="27">
        <v>128.25</v>
      </c>
      <c r="R30" s="20" t="s">
        <v>74</v>
      </c>
      <c r="S30" s="26">
        <v>707</v>
      </c>
      <c r="T30" s="26">
        <v>178.82</v>
      </c>
      <c r="U30" s="26">
        <v>707</v>
      </c>
      <c r="V30" s="38">
        <v>178.82</v>
      </c>
    </row>
    <row r="31" spans="3:22" x14ac:dyDescent="0.25">
      <c r="C31" s="17" t="s">
        <v>501</v>
      </c>
      <c r="D31" s="18">
        <v>477</v>
      </c>
      <c r="N31" s="17" t="s">
        <v>483</v>
      </c>
      <c r="O31" s="26">
        <v>348</v>
      </c>
      <c r="P31" s="27">
        <v>72</v>
      </c>
      <c r="R31" s="20" t="s">
        <v>71</v>
      </c>
      <c r="S31" s="26">
        <v>649</v>
      </c>
      <c r="T31" s="26">
        <v>110.30999999999999</v>
      </c>
      <c r="U31" s="26">
        <v>649</v>
      </c>
      <c r="V31" s="38">
        <v>110.30999999999999</v>
      </c>
    </row>
    <row r="32" spans="3:22" x14ac:dyDescent="0.25">
      <c r="C32" s="19" t="s">
        <v>461</v>
      </c>
      <c r="D32" s="15">
        <v>9162</v>
      </c>
      <c r="N32" s="17" t="s">
        <v>484</v>
      </c>
      <c r="O32" s="26">
        <v>189</v>
      </c>
      <c r="P32" s="27">
        <v>59.220000000000006</v>
      </c>
      <c r="R32" s="20" t="s">
        <v>14</v>
      </c>
      <c r="S32" s="26">
        <v>704</v>
      </c>
      <c r="T32" s="26">
        <v>197.05</v>
      </c>
      <c r="U32" s="26">
        <v>704</v>
      </c>
      <c r="V32" s="38">
        <v>197.05</v>
      </c>
    </row>
    <row r="33" spans="14:22" x14ac:dyDescent="0.25">
      <c r="N33" s="17" t="s">
        <v>485</v>
      </c>
      <c r="O33" s="26">
        <v>610</v>
      </c>
      <c r="P33" s="27">
        <v>126.59</v>
      </c>
      <c r="R33" s="20" t="s">
        <v>18</v>
      </c>
      <c r="S33" s="26">
        <v>756</v>
      </c>
      <c r="T33" s="26">
        <v>145.91999999999996</v>
      </c>
      <c r="U33" s="26">
        <v>756</v>
      </c>
      <c r="V33" s="38">
        <v>145.91999999999996</v>
      </c>
    </row>
    <row r="34" spans="14:22" x14ac:dyDescent="0.25">
      <c r="N34" s="17" t="s">
        <v>486</v>
      </c>
      <c r="O34" s="26">
        <v>440</v>
      </c>
      <c r="P34" s="27">
        <v>109.75</v>
      </c>
      <c r="R34" s="20" t="s">
        <v>48</v>
      </c>
      <c r="S34" s="26">
        <v>1191</v>
      </c>
      <c r="T34" s="26">
        <v>137.81000000000003</v>
      </c>
      <c r="U34" s="26">
        <v>1191</v>
      </c>
      <c r="V34" s="38">
        <v>137.81000000000003</v>
      </c>
    </row>
    <row r="35" spans="14:22" x14ac:dyDescent="0.25">
      <c r="N35" s="17" t="s">
        <v>487</v>
      </c>
      <c r="O35" s="26">
        <v>120</v>
      </c>
      <c r="P35" s="27">
        <v>38</v>
      </c>
      <c r="R35" s="20" t="s">
        <v>30</v>
      </c>
      <c r="S35" s="26">
        <v>751</v>
      </c>
      <c r="T35" s="26">
        <v>142.93000000000006</v>
      </c>
      <c r="U35" s="26">
        <v>751</v>
      </c>
      <c r="V35" s="38">
        <v>142.93000000000006</v>
      </c>
    </row>
    <row r="36" spans="14:22" x14ac:dyDescent="0.25">
      <c r="N36" s="17" t="s">
        <v>488</v>
      </c>
      <c r="O36" s="26">
        <v>288</v>
      </c>
      <c r="P36" s="27">
        <v>86.97</v>
      </c>
      <c r="R36" s="14" t="s">
        <v>461</v>
      </c>
      <c r="S36" s="28">
        <v>9162</v>
      </c>
      <c r="T36" s="28">
        <v>2097.9899999999998</v>
      </c>
      <c r="U36" s="28">
        <v>9162</v>
      </c>
      <c r="V36" s="37">
        <v>2097.9899999999998</v>
      </c>
    </row>
    <row r="37" spans="14:22" x14ac:dyDescent="0.25">
      <c r="N37" s="17" t="s">
        <v>489</v>
      </c>
      <c r="O37" s="26">
        <v>485</v>
      </c>
      <c r="P37" s="27">
        <v>58.300000000000004</v>
      </c>
      <c r="S37"/>
    </row>
    <row r="38" spans="14:22" x14ac:dyDescent="0.25">
      <c r="N38" s="17" t="s">
        <v>490</v>
      </c>
      <c r="O38" s="26">
        <v>234</v>
      </c>
      <c r="P38" s="27">
        <v>72.739999999999995</v>
      </c>
      <c r="S38"/>
    </row>
    <row r="39" spans="14:22" x14ac:dyDescent="0.25">
      <c r="N39" s="17" t="s">
        <v>491</v>
      </c>
      <c r="O39" s="26">
        <v>36</v>
      </c>
      <c r="P39" s="27">
        <v>13.5</v>
      </c>
      <c r="S39"/>
    </row>
    <row r="40" spans="14:22" x14ac:dyDescent="0.25">
      <c r="N40" s="17" t="s">
        <v>492</v>
      </c>
      <c r="O40" s="26">
        <v>576</v>
      </c>
      <c r="P40" s="27">
        <v>112.41</v>
      </c>
      <c r="S40"/>
    </row>
    <row r="41" spans="14:22" x14ac:dyDescent="0.25">
      <c r="N41" s="17" t="s">
        <v>493</v>
      </c>
      <c r="O41" s="26">
        <v>285</v>
      </c>
      <c r="P41" s="27">
        <v>80.360000000000014</v>
      </c>
      <c r="S41"/>
    </row>
    <row r="42" spans="14:22" x14ac:dyDescent="0.25">
      <c r="N42" s="17" t="s">
        <v>494</v>
      </c>
      <c r="O42" s="26">
        <v>261</v>
      </c>
      <c r="P42" s="27">
        <v>63.030000000000008</v>
      </c>
      <c r="R42" s="10" t="s">
        <v>460</v>
      </c>
      <c r="S42" s="6" t="s">
        <v>464</v>
      </c>
      <c r="T42" s="22" t="s">
        <v>462</v>
      </c>
    </row>
    <row r="43" spans="14:22" x14ac:dyDescent="0.25">
      <c r="N43" s="17" t="s">
        <v>495</v>
      </c>
      <c r="O43" s="26">
        <v>276</v>
      </c>
      <c r="P43" s="27">
        <v>85.59</v>
      </c>
      <c r="R43" s="12" t="s">
        <v>7</v>
      </c>
      <c r="S43" s="60">
        <v>584</v>
      </c>
      <c r="T43" s="63">
        <v>9996</v>
      </c>
    </row>
    <row r="44" spans="14:22" x14ac:dyDescent="0.25">
      <c r="N44" s="17" t="s">
        <v>496</v>
      </c>
      <c r="O44" s="26">
        <v>38</v>
      </c>
      <c r="P44" s="27">
        <v>9</v>
      </c>
      <c r="R44" s="59" t="s">
        <v>52</v>
      </c>
      <c r="S44" s="61">
        <v>81</v>
      </c>
      <c r="T44" s="64">
        <v>1539</v>
      </c>
    </row>
    <row r="45" spans="14:22" x14ac:dyDescent="0.25">
      <c r="N45" s="17" t="s">
        <v>497</v>
      </c>
      <c r="O45" s="26">
        <v>779</v>
      </c>
      <c r="P45" s="27">
        <v>198.75</v>
      </c>
      <c r="R45" s="59" t="s">
        <v>55</v>
      </c>
      <c r="S45" s="61">
        <v>44</v>
      </c>
      <c r="T45" s="64">
        <v>792</v>
      </c>
    </row>
    <row r="46" spans="14:22" x14ac:dyDescent="0.25">
      <c r="N46" s="17" t="s">
        <v>498</v>
      </c>
      <c r="O46" s="26">
        <v>401</v>
      </c>
      <c r="P46" s="27">
        <v>84</v>
      </c>
      <c r="R46" s="59" t="s">
        <v>60</v>
      </c>
      <c r="S46" s="61">
        <v>54</v>
      </c>
      <c r="T46" s="64">
        <v>972</v>
      </c>
    </row>
    <row r="47" spans="14:22" x14ac:dyDescent="0.25">
      <c r="N47" s="17" t="s">
        <v>499</v>
      </c>
      <c r="O47" s="26">
        <v>442</v>
      </c>
      <c r="P47" s="27">
        <v>110.84000000000002</v>
      </c>
      <c r="R47" s="59" t="s">
        <v>8</v>
      </c>
      <c r="S47" s="61">
        <v>30</v>
      </c>
      <c r="T47" s="64">
        <v>390</v>
      </c>
    </row>
    <row r="48" spans="14:22" x14ac:dyDescent="0.25">
      <c r="N48" s="17" t="s">
        <v>500</v>
      </c>
      <c r="O48" s="26">
        <v>200</v>
      </c>
      <c r="P48" s="27">
        <v>36.25</v>
      </c>
      <c r="R48" s="59" t="s">
        <v>39</v>
      </c>
      <c r="S48" s="61">
        <v>25</v>
      </c>
      <c r="T48" s="64">
        <v>300</v>
      </c>
    </row>
    <row r="49" spans="14:20" x14ac:dyDescent="0.25">
      <c r="N49" s="17" t="s">
        <v>501</v>
      </c>
      <c r="O49" s="26">
        <v>477</v>
      </c>
      <c r="P49" s="27">
        <v>104.96999999999998</v>
      </c>
      <c r="R49" s="59" t="s">
        <v>68</v>
      </c>
      <c r="S49" s="61">
        <v>54</v>
      </c>
      <c r="T49" s="64">
        <v>810</v>
      </c>
    </row>
    <row r="50" spans="14:20" x14ac:dyDescent="0.25">
      <c r="N50" s="19" t="s">
        <v>461</v>
      </c>
      <c r="O50" s="28">
        <v>9162</v>
      </c>
      <c r="P50" s="29">
        <v>2097.9899999999998</v>
      </c>
      <c r="R50" s="59" t="s">
        <v>94</v>
      </c>
      <c r="S50" s="61">
        <v>43</v>
      </c>
      <c r="T50" s="64">
        <v>602</v>
      </c>
    </row>
    <row r="51" spans="14:20" x14ac:dyDescent="0.25">
      <c r="O51"/>
      <c r="P51"/>
      <c r="R51" s="59" t="s">
        <v>131</v>
      </c>
      <c r="S51" s="61">
        <v>30</v>
      </c>
      <c r="T51" s="64">
        <v>420</v>
      </c>
    </row>
    <row r="52" spans="14:20" x14ac:dyDescent="0.25">
      <c r="O52"/>
      <c r="P52"/>
      <c r="R52" s="59" t="s">
        <v>133</v>
      </c>
      <c r="S52" s="61">
        <v>100</v>
      </c>
      <c r="T52" s="64">
        <v>1500</v>
      </c>
    </row>
    <row r="53" spans="14:20" x14ac:dyDescent="0.25">
      <c r="O53"/>
      <c r="P53"/>
      <c r="R53" s="59" t="s">
        <v>89</v>
      </c>
      <c r="S53" s="61">
        <v>31</v>
      </c>
      <c r="T53" s="64">
        <v>527</v>
      </c>
    </row>
    <row r="54" spans="14:20" x14ac:dyDescent="0.25">
      <c r="O54"/>
      <c r="P54"/>
      <c r="R54" s="59" t="s">
        <v>320</v>
      </c>
      <c r="S54" s="61">
        <v>29</v>
      </c>
      <c r="T54" s="64">
        <v>1073</v>
      </c>
    </row>
    <row r="55" spans="14:20" x14ac:dyDescent="0.25">
      <c r="O55"/>
      <c r="P55"/>
      <c r="R55" s="59" t="s">
        <v>141</v>
      </c>
      <c r="S55" s="61">
        <v>63</v>
      </c>
      <c r="T55" s="64">
        <v>1071</v>
      </c>
    </row>
    <row r="56" spans="14:20" x14ac:dyDescent="0.25">
      <c r="O56"/>
      <c r="P56"/>
      <c r="R56" s="20" t="s">
        <v>24</v>
      </c>
      <c r="S56" s="61">
        <v>130</v>
      </c>
      <c r="T56" s="64">
        <v>1752</v>
      </c>
    </row>
    <row r="57" spans="14:20" x14ac:dyDescent="0.25">
      <c r="O57"/>
      <c r="P57"/>
      <c r="R57" s="59" t="s">
        <v>145</v>
      </c>
      <c r="S57" s="61">
        <v>36</v>
      </c>
      <c r="T57" s="64">
        <v>504</v>
      </c>
    </row>
    <row r="58" spans="14:20" x14ac:dyDescent="0.25">
      <c r="O58"/>
      <c r="P58"/>
      <c r="R58" s="59" t="s">
        <v>116</v>
      </c>
      <c r="S58" s="61">
        <v>28</v>
      </c>
      <c r="T58" s="64">
        <v>336</v>
      </c>
    </row>
    <row r="59" spans="14:20" x14ac:dyDescent="0.25">
      <c r="O59"/>
      <c r="P59"/>
      <c r="R59" s="59" t="s">
        <v>25</v>
      </c>
      <c r="S59" s="61">
        <v>17</v>
      </c>
      <c r="T59" s="64">
        <v>221</v>
      </c>
    </row>
    <row r="60" spans="14:20" x14ac:dyDescent="0.25">
      <c r="O60"/>
      <c r="P60"/>
      <c r="R60" s="59" t="s">
        <v>109</v>
      </c>
      <c r="S60" s="61">
        <v>27</v>
      </c>
      <c r="T60" s="64">
        <v>405</v>
      </c>
    </row>
    <row r="61" spans="14:20" x14ac:dyDescent="0.25">
      <c r="O61"/>
      <c r="P61"/>
      <c r="R61" s="59" t="s">
        <v>253</v>
      </c>
      <c r="S61" s="61">
        <v>22</v>
      </c>
      <c r="T61" s="64">
        <v>286</v>
      </c>
    </row>
    <row r="62" spans="14:20" x14ac:dyDescent="0.25">
      <c r="O62"/>
      <c r="P62"/>
      <c r="R62" s="20" t="s">
        <v>45</v>
      </c>
      <c r="S62" s="61">
        <v>43</v>
      </c>
      <c r="T62" s="64">
        <v>1024</v>
      </c>
    </row>
    <row r="63" spans="14:20" x14ac:dyDescent="0.25">
      <c r="O63"/>
      <c r="P63"/>
      <c r="R63" s="59" t="s">
        <v>148</v>
      </c>
      <c r="S63" s="61">
        <v>4</v>
      </c>
      <c r="T63" s="64">
        <v>240</v>
      </c>
    </row>
    <row r="64" spans="14:20" x14ac:dyDescent="0.25">
      <c r="O64"/>
      <c r="P64"/>
      <c r="R64" s="59" t="s">
        <v>283</v>
      </c>
      <c r="S64" s="61">
        <v>13</v>
      </c>
      <c r="T64" s="64">
        <v>364</v>
      </c>
    </row>
    <row r="65" spans="15:20" x14ac:dyDescent="0.25">
      <c r="O65"/>
      <c r="P65"/>
      <c r="R65" s="59" t="s">
        <v>300</v>
      </c>
      <c r="S65" s="61">
        <v>11</v>
      </c>
      <c r="T65" s="64">
        <v>165</v>
      </c>
    </row>
    <row r="66" spans="15:20" x14ac:dyDescent="0.25">
      <c r="O66"/>
      <c r="P66"/>
      <c r="R66" s="59" t="s">
        <v>46</v>
      </c>
      <c r="S66" s="61">
        <v>15</v>
      </c>
      <c r="T66" s="64">
        <v>255</v>
      </c>
    </row>
    <row r="67" spans="15:20" x14ac:dyDescent="0.25">
      <c r="O67"/>
      <c r="P67"/>
      <c r="R67" s="20" t="s">
        <v>81</v>
      </c>
      <c r="S67" s="61">
        <v>112</v>
      </c>
      <c r="T67" s="64">
        <v>447</v>
      </c>
    </row>
    <row r="68" spans="15:20" x14ac:dyDescent="0.25">
      <c r="O68"/>
      <c r="P68"/>
      <c r="R68" s="59" t="s">
        <v>82</v>
      </c>
      <c r="S68" s="61">
        <v>36</v>
      </c>
      <c r="T68" s="64">
        <v>108</v>
      </c>
    </row>
    <row r="69" spans="15:20" x14ac:dyDescent="0.25">
      <c r="O69"/>
      <c r="P69"/>
      <c r="R69" s="59" t="s">
        <v>85</v>
      </c>
      <c r="S69" s="61">
        <v>41</v>
      </c>
      <c r="T69" s="64">
        <v>164</v>
      </c>
    </row>
    <row r="70" spans="15:20" x14ac:dyDescent="0.25">
      <c r="O70"/>
      <c r="P70"/>
      <c r="R70" s="59" t="s">
        <v>121</v>
      </c>
      <c r="S70" s="61">
        <v>35</v>
      </c>
      <c r="T70" s="64">
        <v>175</v>
      </c>
    </row>
    <row r="71" spans="15:20" x14ac:dyDescent="0.25">
      <c r="O71"/>
      <c r="P71"/>
      <c r="R71" s="20" t="s">
        <v>10</v>
      </c>
      <c r="S71" s="61">
        <v>158</v>
      </c>
      <c r="T71" s="64">
        <v>5132</v>
      </c>
    </row>
    <row r="72" spans="15:20" x14ac:dyDescent="0.25">
      <c r="O72"/>
      <c r="P72"/>
      <c r="R72" s="59" t="s">
        <v>137</v>
      </c>
      <c r="S72" s="61">
        <v>34</v>
      </c>
      <c r="T72" s="64">
        <v>578</v>
      </c>
    </row>
    <row r="73" spans="15:20" x14ac:dyDescent="0.25">
      <c r="O73"/>
      <c r="P73"/>
      <c r="R73" s="59" t="s">
        <v>43</v>
      </c>
      <c r="S73" s="61">
        <v>52</v>
      </c>
      <c r="T73" s="64">
        <v>2860</v>
      </c>
    </row>
    <row r="74" spans="15:20" x14ac:dyDescent="0.25">
      <c r="O74"/>
      <c r="P74"/>
      <c r="R74" s="59" t="s">
        <v>66</v>
      </c>
      <c r="S74" s="61">
        <v>9</v>
      </c>
      <c r="T74" s="64">
        <v>360</v>
      </c>
    </row>
    <row r="75" spans="15:20" x14ac:dyDescent="0.25">
      <c r="O75"/>
      <c r="P75"/>
      <c r="R75" s="59" t="s">
        <v>336</v>
      </c>
      <c r="S75" s="61">
        <v>28</v>
      </c>
      <c r="T75" s="64">
        <v>616</v>
      </c>
    </row>
    <row r="76" spans="15:20" x14ac:dyDescent="0.25">
      <c r="O76"/>
      <c r="P76"/>
      <c r="R76" s="59" t="s">
        <v>11</v>
      </c>
      <c r="S76" s="61">
        <v>8</v>
      </c>
      <c r="T76" s="64">
        <v>232</v>
      </c>
    </row>
    <row r="77" spans="15:20" x14ac:dyDescent="0.25">
      <c r="O77"/>
      <c r="P77"/>
      <c r="R77" s="59" t="s">
        <v>37</v>
      </c>
      <c r="S77" s="61">
        <v>27</v>
      </c>
      <c r="T77" s="64">
        <v>486</v>
      </c>
    </row>
    <row r="78" spans="15:20" x14ac:dyDescent="0.25">
      <c r="O78"/>
      <c r="P78"/>
      <c r="R78" s="20" t="s">
        <v>21</v>
      </c>
      <c r="S78" s="61">
        <v>146</v>
      </c>
      <c r="T78" s="64">
        <v>2993</v>
      </c>
    </row>
    <row r="79" spans="15:20" x14ac:dyDescent="0.25">
      <c r="O79"/>
      <c r="P79"/>
      <c r="R79" s="59" t="s">
        <v>112</v>
      </c>
      <c r="S79" s="61">
        <v>41</v>
      </c>
      <c r="T79" s="64">
        <v>656</v>
      </c>
    </row>
    <row r="80" spans="15:20" x14ac:dyDescent="0.25">
      <c r="O80"/>
      <c r="P80"/>
      <c r="R80" s="59" t="s">
        <v>173</v>
      </c>
      <c r="S80" s="61">
        <v>14</v>
      </c>
      <c r="T80" s="64">
        <v>252</v>
      </c>
    </row>
    <row r="81" spans="15:20" x14ac:dyDescent="0.25">
      <c r="O81"/>
      <c r="P81"/>
      <c r="R81" s="59" t="s">
        <v>100</v>
      </c>
      <c r="S81" s="61">
        <v>12</v>
      </c>
      <c r="T81" s="64">
        <v>240</v>
      </c>
    </row>
    <row r="82" spans="15:20" x14ac:dyDescent="0.25">
      <c r="O82"/>
      <c r="P82"/>
      <c r="R82" s="59" t="s">
        <v>28</v>
      </c>
      <c r="S82" s="61">
        <v>53</v>
      </c>
      <c r="T82" s="64">
        <v>1325</v>
      </c>
    </row>
    <row r="83" spans="15:20" x14ac:dyDescent="0.25">
      <c r="O83"/>
      <c r="P83"/>
      <c r="R83" s="59" t="s">
        <v>22</v>
      </c>
      <c r="S83" s="61">
        <v>26</v>
      </c>
      <c r="T83" s="64">
        <v>520</v>
      </c>
    </row>
    <row r="84" spans="15:20" x14ac:dyDescent="0.25">
      <c r="O84"/>
      <c r="P84"/>
      <c r="R84" s="20" t="s">
        <v>91</v>
      </c>
      <c r="S84" s="61">
        <v>116</v>
      </c>
      <c r="T84" s="64">
        <v>2863</v>
      </c>
    </row>
    <row r="85" spans="15:20" x14ac:dyDescent="0.25">
      <c r="O85"/>
      <c r="P85"/>
      <c r="R85" s="59" t="s">
        <v>179</v>
      </c>
      <c r="S85" s="61">
        <v>14</v>
      </c>
      <c r="T85" s="64">
        <v>266</v>
      </c>
    </row>
    <row r="86" spans="15:20" x14ac:dyDescent="0.25">
      <c r="O86"/>
      <c r="P86"/>
      <c r="R86" s="59" t="s">
        <v>207</v>
      </c>
      <c r="S86" s="61">
        <v>50</v>
      </c>
      <c r="T86" s="64">
        <v>1500</v>
      </c>
    </row>
    <row r="87" spans="15:20" x14ac:dyDescent="0.25">
      <c r="O87"/>
      <c r="P87"/>
      <c r="R87" s="59" t="s">
        <v>185</v>
      </c>
      <c r="S87" s="61">
        <v>14</v>
      </c>
      <c r="T87" s="64">
        <v>350</v>
      </c>
    </row>
    <row r="88" spans="15:20" x14ac:dyDescent="0.25">
      <c r="O88"/>
      <c r="P88"/>
      <c r="R88" s="59" t="s">
        <v>397</v>
      </c>
      <c r="S88" s="61">
        <v>13</v>
      </c>
      <c r="T88" s="64">
        <v>247</v>
      </c>
    </row>
    <row r="89" spans="15:20" x14ac:dyDescent="0.25">
      <c r="O89"/>
      <c r="P89"/>
      <c r="R89" s="59" t="s">
        <v>92</v>
      </c>
      <c r="S89" s="61">
        <v>25</v>
      </c>
      <c r="T89" s="64">
        <v>500</v>
      </c>
    </row>
    <row r="90" spans="15:20" x14ac:dyDescent="0.25">
      <c r="O90"/>
      <c r="P90"/>
      <c r="R90" s="20" t="s">
        <v>74</v>
      </c>
      <c r="S90" s="61">
        <v>100</v>
      </c>
      <c r="T90" s="64">
        <v>4232</v>
      </c>
    </row>
    <row r="91" spans="15:20" x14ac:dyDescent="0.25">
      <c r="O91"/>
      <c r="P91"/>
      <c r="R91" s="59" t="s">
        <v>123</v>
      </c>
      <c r="S91" s="61">
        <v>27</v>
      </c>
      <c r="T91" s="64">
        <v>756</v>
      </c>
    </row>
    <row r="92" spans="15:20" x14ac:dyDescent="0.25">
      <c r="R92" s="59" t="s">
        <v>75</v>
      </c>
      <c r="S92" s="61">
        <v>46</v>
      </c>
      <c r="T92" s="64">
        <v>2990</v>
      </c>
    </row>
    <row r="93" spans="15:20" x14ac:dyDescent="0.25">
      <c r="R93" s="59" t="s">
        <v>78</v>
      </c>
      <c r="S93" s="61">
        <v>27</v>
      </c>
      <c r="T93" s="64">
        <v>486</v>
      </c>
    </row>
    <row r="94" spans="15:20" x14ac:dyDescent="0.25">
      <c r="R94" s="20" t="s">
        <v>71</v>
      </c>
      <c r="S94" s="61">
        <v>81</v>
      </c>
      <c r="T94" s="64">
        <v>3024</v>
      </c>
    </row>
    <row r="95" spans="15:20" x14ac:dyDescent="0.25">
      <c r="R95" s="59" t="s">
        <v>72</v>
      </c>
      <c r="S95" s="61">
        <v>54</v>
      </c>
      <c r="T95" s="64">
        <v>1458</v>
      </c>
    </row>
    <row r="96" spans="15:20" x14ac:dyDescent="0.25">
      <c r="R96" s="59" t="s">
        <v>161</v>
      </c>
      <c r="S96" s="61">
        <v>27</v>
      </c>
      <c r="T96" s="64">
        <v>1566</v>
      </c>
    </row>
    <row r="97" spans="18:20" x14ac:dyDescent="0.25">
      <c r="R97" s="20" t="s">
        <v>14</v>
      </c>
      <c r="S97" s="61">
        <v>134</v>
      </c>
      <c r="T97" s="64">
        <v>2300</v>
      </c>
    </row>
    <row r="98" spans="18:20" x14ac:dyDescent="0.25">
      <c r="R98" s="59" t="s">
        <v>164</v>
      </c>
      <c r="S98" s="61">
        <v>38</v>
      </c>
      <c r="T98" s="64">
        <v>836</v>
      </c>
    </row>
    <row r="99" spans="18:20" x14ac:dyDescent="0.25">
      <c r="R99" s="59" t="s">
        <v>15</v>
      </c>
      <c r="S99" s="61">
        <v>44</v>
      </c>
      <c r="T99" s="64">
        <v>616</v>
      </c>
    </row>
    <row r="100" spans="18:20" x14ac:dyDescent="0.25">
      <c r="R100" s="59" t="s">
        <v>192</v>
      </c>
      <c r="S100" s="61">
        <v>30</v>
      </c>
      <c r="T100" s="64">
        <v>540</v>
      </c>
    </row>
    <row r="101" spans="18:20" x14ac:dyDescent="0.25">
      <c r="R101" s="59" t="s">
        <v>233</v>
      </c>
      <c r="S101" s="61">
        <v>22</v>
      </c>
      <c r="T101" s="64">
        <v>308</v>
      </c>
    </row>
    <row r="102" spans="18:20" x14ac:dyDescent="0.25">
      <c r="R102" s="20" t="s">
        <v>18</v>
      </c>
      <c r="S102" s="61">
        <v>130</v>
      </c>
      <c r="T102" s="64">
        <v>2666</v>
      </c>
    </row>
    <row r="103" spans="18:20" x14ac:dyDescent="0.25">
      <c r="R103" s="59" t="s">
        <v>153</v>
      </c>
      <c r="S103" s="61">
        <v>22</v>
      </c>
      <c r="T103" s="64">
        <v>396</v>
      </c>
    </row>
    <row r="104" spans="18:20" x14ac:dyDescent="0.25">
      <c r="R104" s="59" t="s">
        <v>19</v>
      </c>
      <c r="S104" s="61">
        <v>44</v>
      </c>
      <c r="T104" s="64">
        <v>1012</v>
      </c>
    </row>
    <row r="105" spans="18:20" x14ac:dyDescent="0.25">
      <c r="R105" s="59" t="s">
        <v>355</v>
      </c>
      <c r="S105" s="61">
        <v>22</v>
      </c>
      <c r="T105" s="64">
        <v>418</v>
      </c>
    </row>
    <row r="106" spans="18:20" x14ac:dyDescent="0.25">
      <c r="R106" s="59" t="s">
        <v>33</v>
      </c>
      <c r="S106" s="61">
        <v>42</v>
      </c>
      <c r="T106" s="64">
        <v>840</v>
      </c>
    </row>
    <row r="107" spans="18:20" x14ac:dyDescent="0.25">
      <c r="R107" s="20" t="s">
        <v>48</v>
      </c>
      <c r="S107" s="61">
        <v>109</v>
      </c>
      <c r="T107" s="64">
        <v>4670</v>
      </c>
    </row>
    <row r="108" spans="18:20" x14ac:dyDescent="0.25">
      <c r="R108" s="59" t="s">
        <v>150</v>
      </c>
      <c r="S108" s="61">
        <v>44</v>
      </c>
      <c r="T108" s="64">
        <v>1980</v>
      </c>
    </row>
    <row r="109" spans="18:20" x14ac:dyDescent="0.25">
      <c r="R109" s="59" t="s">
        <v>199</v>
      </c>
      <c r="S109" s="61">
        <v>35</v>
      </c>
      <c r="T109" s="64">
        <v>1400</v>
      </c>
    </row>
    <row r="110" spans="18:20" x14ac:dyDescent="0.25">
      <c r="R110" s="59" t="s">
        <v>49</v>
      </c>
      <c r="S110" s="61">
        <v>30</v>
      </c>
      <c r="T110" s="64">
        <v>1290</v>
      </c>
    </row>
    <row r="111" spans="18:20" x14ac:dyDescent="0.25">
      <c r="R111" s="20" t="s">
        <v>30</v>
      </c>
      <c r="S111" s="61">
        <v>148</v>
      </c>
      <c r="T111" s="64">
        <v>3125</v>
      </c>
    </row>
    <row r="112" spans="18:20" x14ac:dyDescent="0.25">
      <c r="R112" s="59" t="s">
        <v>31</v>
      </c>
      <c r="S112" s="61">
        <v>33</v>
      </c>
      <c r="T112" s="64">
        <v>825</v>
      </c>
    </row>
    <row r="113" spans="18:20" x14ac:dyDescent="0.25">
      <c r="R113" s="59" t="s">
        <v>125</v>
      </c>
      <c r="S113" s="61">
        <v>30</v>
      </c>
      <c r="T113" s="64">
        <v>510</v>
      </c>
    </row>
    <row r="114" spans="18:20" x14ac:dyDescent="0.25">
      <c r="R114" s="59" t="s">
        <v>119</v>
      </c>
      <c r="S114" s="61">
        <v>50</v>
      </c>
      <c r="T114" s="64">
        <v>950</v>
      </c>
    </row>
    <row r="115" spans="18:20" x14ac:dyDescent="0.25">
      <c r="R115" s="59" t="s">
        <v>105</v>
      </c>
      <c r="S115" s="61">
        <v>35</v>
      </c>
      <c r="T115" s="64">
        <v>840</v>
      </c>
    </row>
    <row r="116" spans="18:20" x14ac:dyDescent="0.25">
      <c r="R116" s="14" t="s">
        <v>461</v>
      </c>
      <c r="S116" s="62">
        <v>1991</v>
      </c>
      <c r="T116" s="65">
        <v>44224</v>
      </c>
    </row>
    <row r="117" spans="18:20" x14ac:dyDescent="0.25">
      <c r="S117"/>
    </row>
    <row r="118" spans="18:20" x14ac:dyDescent="0.25">
      <c r="S118"/>
    </row>
    <row r="119" spans="18:20" x14ac:dyDescent="0.25">
      <c r="S119"/>
    </row>
    <row r="120" spans="18:20" x14ac:dyDescent="0.25">
      <c r="S120"/>
    </row>
    <row r="121" spans="18:20" x14ac:dyDescent="0.25">
      <c r="S121"/>
    </row>
    <row r="122" spans="18:20" x14ac:dyDescent="0.25">
      <c r="S122"/>
    </row>
    <row r="123" spans="18:20" x14ac:dyDescent="0.25">
      <c r="S123"/>
    </row>
    <row r="124" spans="18:20" x14ac:dyDescent="0.25">
      <c r="S124"/>
    </row>
    <row r="125" spans="18:20" x14ac:dyDescent="0.25">
      <c r="S125"/>
    </row>
    <row r="126" spans="18:20" x14ac:dyDescent="0.25">
      <c r="S126"/>
    </row>
    <row r="127" spans="18:20" x14ac:dyDescent="0.25">
      <c r="S127"/>
    </row>
    <row r="128" spans="18:20" x14ac:dyDescent="0.25">
      <c r="S128"/>
    </row>
    <row r="129" spans="19:19" x14ac:dyDescent="0.25">
      <c r="S129"/>
    </row>
    <row r="130" spans="19:19" x14ac:dyDescent="0.25">
      <c r="S130"/>
    </row>
    <row r="131" spans="19:19" x14ac:dyDescent="0.25">
      <c r="S131"/>
    </row>
    <row r="132" spans="19:19" x14ac:dyDescent="0.25">
      <c r="S132"/>
    </row>
    <row r="133" spans="19:19" x14ac:dyDescent="0.25">
      <c r="S133"/>
    </row>
    <row r="134" spans="19:19" x14ac:dyDescent="0.25">
      <c r="S134"/>
    </row>
    <row r="135" spans="19:19" x14ac:dyDescent="0.25">
      <c r="S135"/>
    </row>
    <row r="136" spans="19:19" x14ac:dyDescent="0.25">
      <c r="S136"/>
    </row>
    <row r="137" spans="19:19" x14ac:dyDescent="0.25">
      <c r="S137"/>
    </row>
    <row r="138" spans="19:19" x14ac:dyDescent="0.25">
      <c r="S138"/>
    </row>
    <row r="139" spans="19:19" x14ac:dyDescent="0.25">
      <c r="S139"/>
    </row>
    <row r="140" spans="19:19" x14ac:dyDescent="0.25">
      <c r="S140"/>
    </row>
    <row r="141" spans="19:19" x14ac:dyDescent="0.25">
      <c r="S141"/>
    </row>
    <row r="142" spans="19:19" x14ac:dyDescent="0.25">
      <c r="S142"/>
    </row>
    <row r="143" spans="19:19" x14ac:dyDescent="0.25">
      <c r="S143"/>
    </row>
    <row r="144" spans="19:19" x14ac:dyDescent="0.25">
      <c r="S144"/>
    </row>
    <row r="145" spans="19:19" x14ac:dyDescent="0.25">
      <c r="S145"/>
    </row>
    <row r="146" spans="19:19" x14ac:dyDescent="0.25">
      <c r="S146"/>
    </row>
    <row r="147" spans="19:19" x14ac:dyDescent="0.25">
      <c r="S147"/>
    </row>
    <row r="148" spans="19:19" x14ac:dyDescent="0.25">
      <c r="S148"/>
    </row>
    <row r="149" spans="19:19" x14ac:dyDescent="0.25">
      <c r="S149"/>
    </row>
    <row r="150" spans="19:19" x14ac:dyDescent="0.25">
      <c r="S150"/>
    </row>
    <row r="151" spans="19:19" x14ac:dyDescent="0.25">
      <c r="S151"/>
    </row>
    <row r="152" spans="19:19" x14ac:dyDescent="0.25">
      <c r="S152"/>
    </row>
    <row r="153" spans="19:19" x14ac:dyDescent="0.25">
      <c r="S153"/>
    </row>
    <row r="154" spans="19:19" x14ac:dyDescent="0.25">
      <c r="S154"/>
    </row>
    <row r="155" spans="19:19" x14ac:dyDescent="0.25">
      <c r="S155"/>
    </row>
    <row r="156" spans="19:19" x14ac:dyDescent="0.25">
      <c r="S156"/>
    </row>
    <row r="157" spans="19:19" x14ac:dyDescent="0.25">
      <c r="S157"/>
    </row>
    <row r="158" spans="19:19" x14ac:dyDescent="0.25">
      <c r="S158"/>
    </row>
    <row r="159" spans="19:19" x14ac:dyDescent="0.25">
      <c r="S159"/>
    </row>
    <row r="160" spans="19:19" x14ac:dyDescent="0.25">
      <c r="S160"/>
    </row>
    <row r="161" spans="19:19" x14ac:dyDescent="0.25">
      <c r="S161"/>
    </row>
    <row r="162" spans="19:19" x14ac:dyDescent="0.25">
      <c r="S162"/>
    </row>
    <row r="163" spans="19:19" x14ac:dyDescent="0.25">
      <c r="S163"/>
    </row>
    <row r="164" spans="19:19" x14ac:dyDescent="0.25">
      <c r="S164"/>
    </row>
    <row r="165" spans="19:19" x14ac:dyDescent="0.25">
      <c r="S165"/>
    </row>
    <row r="166" spans="19:19" x14ac:dyDescent="0.25">
      <c r="S166"/>
    </row>
    <row r="167" spans="19:19" x14ac:dyDescent="0.25">
      <c r="S167"/>
    </row>
    <row r="168" spans="19:19" x14ac:dyDescent="0.25">
      <c r="S168"/>
    </row>
    <row r="169" spans="19:19" x14ac:dyDescent="0.25">
      <c r="S169"/>
    </row>
    <row r="170" spans="19:19" x14ac:dyDescent="0.25">
      <c r="S170"/>
    </row>
    <row r="171" spans="19:19" x14ac:dyDescent="0.25">
      <c r="S171"/>
    </row>
    <row r="172" spans="19:19" x14ac:dyDescent="0.25">
      <c r="S172"/>
    </row>
    <row r="173" spans="19:19" x14ac:dyDescent="0.25">
      <c r="S173"/>
    </row>
    <row r="174" spans="19:19" x14ac:dyDescent="0.25">
      <c r="S174"/>
    </row>
    <row r="175" spans="19:19" x14ac:dyDescent="0.25">
      <c r="S175"/>
    </row>
    <row r="176" spans="19:19" x14ac:dyDescent="0.25">
      <c r="S176"/>
    </row>
    <row r="177" spans="19:19" x14ac:dyDescent="0.25">
      <c r="S177"/>
    </row>
    <row r="178" spans="19:19" x14ac:dyDescent="0.25">
      <c r="S178"/>
    </row>
    <row r="179" spans="19:19" x14ac:dyDescent="0.25">
      <c r="S179"/>
    </row>
    <row r="180" spans="19:19" x14ac:dyDescent="0.25">
      <c r="S180"/>
    </row>
    <row r="181" spans="19:19" x14ac:dyDescent="0.25">
      <c r="S181"/>
    </row>
    <row r="182" spans="19:19" x14ac:dyDescent="0.25">
      <c r="S182"/>
    </row>
    <row r="183" spans="19:19" x14ac:dyDescent="0.25">
      <c r="S183"/>
    </row>
    <row r="184" spans="19:19" x14ac:dyDescent="0.25">
      <c r="S184"/>
    </row>
    <row r="185" spans="19:19" x14ac:dyDescent="0.25">
      <c r="S185"/>
    </row>
    <row r="186" spans="19:19" x14ac:dyDescent="0.25">
      <c r="S186"/>
    </row>
    <row r="187" spans="19:19" x14ac:dyDescent="0.25">
      <c r="S187"/>
    </row>
    <row r="188" spans="19:19" x14ac:dyDescent="0.25">
      <c r="S188"/>
    </row>
    <row r="189" spans="19:19" x14ac:dyDescent="0.25">
      <c r="S189"/>
    </row>
    <row r="190" spans="19:19" x14ac:dyDescent="0.25">
      <c r="S190"/>
    </row>
    <row r="191" spans="19:19" x14ac:dyDescent="0.25">
      <c r="S191"/>
    </row>
    <row r="192" spans="19:19" x14ac:dyDescent="0.25">
      <c r="S192"/>
    </row>
    <row r="193" spans="19:19" x14ac:dyDescent="0.25">
      <c r="S193"/>
    </row>
    <row r="194" spans="19:19" x14ac:dyDescent="0.25">
      <c r="S194"/>
    </row>
    <row r="195" spans="19:19" x14ac:dyDescent="0.25">
      <c r="S195"/>
    </row>
    <row r="196" spans="19:19" x14ac:dyDescent="0.25">
      <c r="S196"/>
    </row>
    <row r="197" spans="19:19" x14ac:dyDescent="0.25">
      <c r="S197"/>
    </row>
    <row r="198" spans="19:19" x14ac:dyDescent="0.25">
      <c r="S198"/>
    </row>
    <row r="199" spans="19:19" x14ac:dyDescent="0.25">
      <c r="S199"/>
    </row>
    <row r="200" spans="19:19" x14ac:dyDescent="0.25">
      <c r="S200"/>
    </row>
    <row r="201" spans="19:19" x14ac:dyDescent="0.25">
      <c r="S201"/>
    </row>
    <row r="202" spans="19:19" x14ac:dyDescent="0.25">
      <c r="S202"/>
    </row>
    <row r="203" spans="19:19" x14ac:dyDescent="0.25">
      <c r="S203"/>
    </row>
    <row r="204" spans="19:19" x14ac:dyDescent="0.25">
      <c r="S204"/>
    </row>
    <row r="205" spans="19:19" x14ac:dyDescent="0.25">
      <c r="S205"/>
    </row>
    <row r="206" spans="19:19" x14ac:dyDescent="0.25">
      <c r="S206"/>
    </row>
    <row r="207" spans="19:19" x14ac:dyDescent="0.25">
      <c r="S207"/>
    </row>
    <row r="208" spans="19:19" x14ac:dyDescent="0.25">
      <c r="S208"/>
    </row>
    <row r="209" spans="19:19" x14ac:dyDescent="0.25">
      <c r="S209"/>
    </row>
    <row r="210" spans="19:19" x14ac:dyDescent="0.25">
      <c r="S210"/>
    </row>
    <row r="211" spans="19:19" x14ac:dyDescent="0.25">
      <c r="S211"/>
    </row>
    <row r="212" spans="19:19" x14ac:dyDescent="0.25">
      <c r="S212"/>
    </row>
    <row r="213" spans="19:19" x14ac:dyDescent="0.25">
      <c r="S213"/>
    </row>
    <row r="214" spans="19:19" x14ac:dyDescent="0.25">
      <c r="S214"/>
    </row>
    <row r="215" spans="19:19" x14ac:dyDescent="0.25">
      <c r="S215"/>
    </row>
    <row r="216" spans="19:19" x14ac:dyDescent="0.25">
      <c r="S216"/>
    </row>
    <row r="217" spans="19:19" x14ac:dyDescent="0.25">
      <c r="S217"/>
    </row>
    <row r="218" spans="19:19" x14ac:dyDescent="0.25">
      <c r="S218"/>
    </row>
    <row r="219" spans="19:19" x14ac:dyDescent="0.25">
      <c r="S219"/>
    </row>
    <row r="220" spans="19:19" x14ac:dyDescent="0.25">
      <c r="S220"/>
    </row>
    <row r="221" spans="19:19" x14ac:dyDescent="0.25">
      <c r="S221"/>
    </row>
    <row r="222" spans="19:19" x14ac:dyDescent="0.25">
      <c r="S222"/>
    </row>
    <row r="223" spans="19:19" x14ac:dyDescent="0.25">
      <c r="S223"/>
    </row>
    <row r="224" spans="19:19" x14ac:dyDescent="0.25">
      <c r="S224"/>
    </row>
    <row r="225" spans="19:19" x14ac:dyDescent="0.25">
      <c r="S225"/>
    </row>
    <row r="226" spans="19:19" x14ac:dyDescent="0.25">
      <c r="S226"/>
    </row>
    <row r="227" spans="19:19" x14ac:dyDescent="0.25">
      <c r="S227"/>
    </row>
    <row r="228" spans="19:19" x14ac:dyDescent="0.25">
      <c r="S228"/>
    </row>
    <row r="229" spans="19:19" x14ac:dyDescent="0.25">
      <c r="S229"/>
    </row>
    <row r="230" spans="19:19" x14ac:dyDescent="0.25">
      <c r="S230"/>
    </row>
    <row r="231" spans="19:19" x14ac:dyDescent="0.25">
      <c r="S231"/>
    </row>
    <row r="232" spans="19:19" x14ac:dyDescent="0.25">
      <c r="S232"/>
    </row>
    <row r="233" spans="19:19" x14ac:dyDescent="0.25">
      <c r="S233"/>
    </row>
    <row r="234" spans="19:19" x14ac:dyDescent="0.25">
      <c r="S234"/>
    </row>
    <row r="235" spans="19:19" x14ac:dyDescent="0.25">
      <c r="S235"/>
    </row>
    <row r="236" spans="19:19" x14ac:dyDescent="0.25">
      <c r="S236"/>
    </row>
    <row r="237" spans="19:19" x14ac:dyDescent="0.25">
      <c r="S237"/>
    </row>
    <row r="238" spans="19:19" x14ac:dyDescent="0.25">
      <c r="S238"/>
    </row>
    <row r="239" spans="19:19" x14ac:dyDescent="0.25">
      <c r="S239"/>
    </row>
    <row r="240" spans="19:19" x14ac:dyDescent="0.25">
      <c r="S240"/>
    </row>
    <row r="241" spans="19:19" x14ac:dyDescent="0.25">
      <c r="S241"/>
    </row>
    <row r="242" spans="19:19" x14ac:dyDescent="0.25">
      <c r="S242"/>
    </row>
    <row r="243" spans="19:19" x14ac:dyDescent="0.25">
      <c r="S243"/>
    </row>
    <row r="244" spans="19:19" x14ac:dyDescent="0.25">
      <c r="S244"/>
    </row>
    <row r="245" spans="19:19" x14ac:dyDescent="0.25">
      <c r="S245"/>
    </row>
    <row r="246" spans="19:19" x14ac:dyDescent="0.25">
      <c r="S246"/>
    </row>
    <row r="247" spans="19:19" x14ac:dyDescent="0.25">
      <c r="S247"/>
    </row>
    <row r="248" spans="19:19" x14ac:dyDescent="0.25">
      <c r="S248"/>
    </row>
    <row r="249" spans="19:19" x14ac:dyDescent="0.25">
      <c r="S249"/>
    </row>
    <row r="250" spans="19:19" x14ac:dyDescent="0.25">
      <c r="S250"/>
    </row>
    <row r="251" spans="19:19" x14ac:dyDescent="0.25">
      <c r="S251"/>
    </row>
    <row r="252" spans="19:19" x14ac:dyDescent="0.25">
      <c r="S252"/>
    </row>
    <row r="253" spans="19:19" x14ac:dyDescent="0.25">
      <c r="S253"/>
    </row>
    <row r="254" spans="19:19" x14ac:dyDescent="0.25">
      <c r="S254"/>
    </row>
    <row r="255" spans="19:19" x14ac:dyDescent="0.25">
      <c r="S255"/>
    </row>
    <row r="256" spans="19:19" x14ac:dyDescent="0.25">
      <c r="S256"/>
    </row>
    <row r="257" spans="19:19" x14ac:dyDescent="0.25">
      <c r="S257"/>
    </row>
    <row r="258" spans="19:19" x14ac:dyDescent="0.25">
      <c r="S258"/>
    </row>
    <row r="259" spans="19:19" x14ac:dyDescent="0.25">
      <c r="S259"/>
    </row>
    <row r="260" spans="19:19" x14ac:dyDescent="0.25">
      <c r="S260"/>
    </row>
    <row r="261" spans="19:19" x14ac:dyDescent="0.25">
      <c r="S261"/>
    </row>
    <row r="262" spans="19:19" x14ac:dyDescent="0.25">
      <c r="S262"/>
    </row>
    <row r="263" spans="19:19" x14ac:dyDescent="0.25">
      <c r="S263"/>
    </row>
    <row r="264" spans="19:19" x14ac:dyDescent="0.25">
      <c r="S264"/>
    </row>
    <row r="265" spans="19:19" x14ac:dyDescent="0.25">
      <c r="S265"/>
    </row>
    <row r="266" spans="19:19" x14ac:dyDescent="0.25">
      <c r="S266"/>
    </row>
    <row r="267" spans="19:19" x14ac:dyDescent="0.25">
      <c r="S267"/>
    </row>
    <row r="268" spans="19:19" x14ac:dyDescent="0.25">
      <c r="S268"/>
    </row>
    <row r="269" spans="19:19" x14ac:dyDescent="0.25">
      <c r="S269"/>
    </row>
    <row r="270" spans="19:19" x14ac:dyDescent="0.25">
      <c r="S270"/>
    </row>
    <row r="271" spans="19:19" x14ac:dyDescent="0.25">
      <c r="S271"/>
    </row>
    <row r="272" spans="19:19" x14ac:dyDescent="0.25">
      <c r="S272"/>
    </row>
    <row r="273" spans="19:19" x14ac:dyDescent="0.25">
      <c r="S273"/>
    </row>
    <row r="274" spans="19:19" x14ac:dyDescent="0.25">
      <c r="S274"/>
    </row>
    <row r="275" spans="19:19" x14ac:dyDescent="0.25">
      <c r="S275"/>
    </row>
    <row r="276" spans="19:19" x14ac:dyDescent="0.25">
      <c r="S276"/>
    </row>
    <row r="277" spans="19:19" x14ac:dyDescent="0.25">
      <c r="S277"/>
    </row>
    <row r="278" spans="19:19" x14ac:dyDescent="0.25">
      <c r="S278"/>
    </row>
    <row r="279" spans="19:19" x14ac:dyDescent="0.25">
      <c r="S279"/>
    </row>
    <row r="280" spans="19:19" x14ac:dyDescent="0.25">
      <c r="S280"/>
    </row>
    <row r="281" spans="19:19" x14ac:dyDescent="0.25">
      <c r="S281"/>
    </row>
    <row r="282" spans="19:19" x14ac:dyDescent="0.25">
      <c r="S282"/>
    </row>
    <row r="283" spans="19:19" x14ac:dyDescent="0.25">
      <c r="S283"/>
    </row>
    <row r="284" spans="19:19" x14ac:dyDescent="0.25">
      <c r="S284"/>
    </row>
    <row r="285" spans="19:19" x14ac:dyDescent="0.25">
      <c r="S285"/>
    </row>
    <row r="286" spans="19:19" x14ac:dyDescent="0.25">
      <c r="S286"/>
    </row>
    <row r="287" spans="19:19" x14ac:dyDescent="0.25">
      <c r="S287"/>
    </row>
    <row r="288" spans="19:19" x14ac:dyDescent="0.25">
      <c r="S288"/>
    </row>
    <row r="289" spans="19:19" x14ac:dyDescent="0.25">
      <c r="S289"/>
    </row>
    <row r="290" spans="19:19" x14ac:dyDescent="0.25">
      <c r="S290"/>
    </row>
    <row r="291" spans="19:19" x14ac:dyDescent="0.25">
      <c r="S291"/>
    </row>
    <row r="292" spans="19:19" x14ac:dyDescent="0.25">
      <c r="S292"/>
    </row>
    <row r="293" spans="19:19" x14ac:dyDescent="0.25">
      <c r="S293"/>
    </row>
    <row r="294" spans="19:19" x14ac:dyDescent="0.25">
      <c r="S294"/>
    </row>
    <row r="295" spans="19:19" x14ac:dyDescent="0.25">
      <c r="S295"/>
    </row>
    <row r="296" spans="19:19" x14ac:dyDescent="0.25">
      <c r="S296"/>
    </row>
    <row r="297" spans="19:19" x14ac:dyDescent="0.25">
      <c r="S297"/>
    </row>
    <row r="298" spans="19:19" x14ac:dyDescent="0.25">
      <c r="S298"/>
    </row>
    <row r="299" spans="19:19" x14ac:dyDescent="0.25">
      <c r="S299"/>
    </row>
  </sheetData>
  <conditionalFormatting pivot="1" sqref="O4:O16">
    <cfRule type="dataBar" priority="2">
      <dataBar>
        <cfvo type="min"/>
        <cfvo type="max"/>
        <color rgb="FF638EC6"/>
      </dataBar>
      <extLst>
        <ext xmlns:x14="http://schemas.microsoft.com/office/spreadsheetml/2009/9/main" uri="{B025F937-C7B1-47D3-B67F-A62EFF666E3E}">
          <x14:id>{B9F6FE74-1E40-4ED8-BF76-CFC2E36A6E2F}</x14:id>
        </ext>
      </extLst>
    </cfRule>
  </conditionalFormatting>
  <conditionalFormatting pivot="1" sqref="P4:P16">
    <cfRule type="dataBar" priority="1">
      <dataBar>
        <cfvo type="min"/>
        <cfvo type="max"/>
        <color rgb="FF63C384"/>
      </dataBar>
      <extLst>
        <ext xmlns:x14="http://schemas.microsoft.com/office/spreadsheetml/2009/9/main" uri="{B025F937-C7B1-47D3-B67F-A62EFF666E3E}">
          <x14:id>{E02568F5-142A-48E3-A2B0-F3A0F8007ECF}</x14:id>
        </ext>
      </extLst>
    </cfRule>
  </conditionalFormatting>
  <pageMargins left="0.7" right="0.7" top="0.75" bottom="0.75" header="0.3" footer="0.3"/>
  <drawing r:id="rId6"/>
  <extLst>
    <ext xmlns:x14="http://schemas.microsoft.com/office/spreadsheetml/2009/9/main" uri="{78C0D931-6437-407d-A8EE-F0AAD7539E65}">
      <x14:conditionalFormattings>
        <x14:conditionalFormatting xmlns:xm="http://schemas.microsoft.com/office/excel/2006/main" pivot="1">
          <x14:cfRule type="dataBar" id="{B9F6FE74-1E40-4ED8-BF76-CFC2E36A6E2F}">
            <x14:dataBar minLength="0" maxLength="100" gradient="0">
              <x14:cfvo type="autoMin"/>
              <x14:cfvo type="autoMax"/>
              <x14:negativeFillColor rgb="FFFF0000"/>
              <x14:axisColor rgb="FF000000"/>
            </x14:dataBar>
          </x14:cfRule>
          <xm:sqref>O4:O16</xm:sqref>
        </x14:conditionalFormatting>
        <x14:conditionalFormatting xmlns:xm="http://schemas.microsoft.com/office/excel/2006/main" pivot="1">
          <x14:cfRule type="dataBar" id="{E02568F5-142A-48E3-A2B0-F3A0F8007ECF}">
            <x14:dataBar minLength="0" maxLength="100" gradient="0">
              <x14:cfvo type="autoMin"/>
              <x14:cfvo type="autoMax"/>
              <x14:negativeFillColor rgb="FFFF0000"/>
              <x14:axisColor rgb="FF000000"/>
            </x14:dataBar>
          </x14:cfRule>
          <xm:sqref>P4:P16</xm:sqref>
        </x14:conditionalFormatting>
      </x14:conditionalFormattings>
    </ex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000"/>
  <sheetViews>
    <sheetView topLeftCell="A360" workbookViewId="0">
      <selection activeCell="A378" sqref="A378:XFD378"/>
    </sheetView>
  </sheetViews>
  <sheetFormatPr defaultColWidth="11.25" defaultRowHeight="15" customHeight="1" x14ac:dyDescent="0.25"/>
  <cols>
    <col min="1" max="1" width="13.125" customWidth="1"/>
    <col min="2" max="2" width="27.625" customWidth="1"/>
    <col min="3" max="3" width="24.375" customWidth="1"/>
    <col min="4" max="4" width="17.125" customWidth="1"/>
    <col min="5" max="6" width="16.625" customWidth="1"/>
    <col min="7" max="7" width="15.375" customWidth="1"/>
    <col min="8" max="26" width="10.5" customWidth="1"/>
  </cols>
  <sheetData>
    <row r="1" spans="1:7" ht="15.75" customHeight="1" x14ac:dyDescent="0.25">
      <c r="A1" s="1" t="s">
        <v>0</v>
      </c>
      <c r="B1" s="1" t="s">
        <v>1</v>
      </c>
      <c r="C1" s="1" t="s">
        <v>2</v>
      </c>
      <c r="D1" s="1" t="s">
        <v>3</v>
      </c>
      <c r="E1" s="2" t="s">
        <v>4</v>
      </c>
      <c r="F1" s="1" t="s">
        <v>5</v>
      </c>
      <c r="G1" s="1" t="s">
        <v>6</v>
      </c>
    </row>
    <row r="2" spans="1:7" ht="15.75" customHeight="1" x14ac:dyDescent="0.25">
      <c r="A2" s="3">
        <v>44987</v>
      </c>
      <c r="B2" s="1" t="s">
        <v>7</v>
      </c>
      <c r="C2" s="1" t="s">
        <v>8</v>
      </c>
      <c r="D2" s="1">
        <v>8.17</v>
      </c>
      <c r="E2" s="1">
        <v>13</v>
      </c>
      <c r="F2" s="1">
        <v>5</v>
      </c>
      <c r="G2" s="1" t="s">
        <v>9</v>
      </c>
    </row>
    <row r="3" spans="1:7" ht="15.75" customHeight="1" x14ac:dyDescent="0.25">
      <c r="A3" s="3">
        <v>44988</v>
      </c>
      <c r="B3" s="1" t="s">
        <v>10</v>
      </c>
      <c r="C3" s="1" t="s">
        <v>11</v>
      </c>
      <c r="D3" s="1">
        <v>23.45</v>
      </c>
      <c r="E3" s="1">
        <v>29</v>
      </c>
      <c r="F3" s="1">
        <v>4</v>
      </c>
      <c r="G3" s="1" t="s">
        <v>12</v>
      </c>
    </row>
    <row r="4" spans="1:7" ht="15.75" customHeight="1" x14ac:dyDescent="0.25">
      <c r="A4" s="3">
        <v>44988</v>
      </c>
      <c r="B4" s="1" t="s">
        <v>10</v>
      </c>
      <c r="C4" s="1" t="s">
        <v>11</v>
      </c>
      <c r="D4" s="1">
        <v>23.45</v>
      </c>
      <c r="E4" s="1">
        <v>29</v>
      </c>
      <c r="F4" s="1">
        <v>2</v>
      </c>
      <c r="G4" s="1" t="s">
        <v>13</v>
      </c>
    </row>
    <row r="5" spans="1:7" ht="15.75" customHeight="1" x14ac:dyDescent="0.25">
      <c r="A5" s="3">
        <v>44993</v>
      </c>
      <c r="B5" s="1" t="s">
        <v>14</v>
      </c>
      <c r="C5" s="1" t="s">
        <v>15</v>
      </c>
      <c r="D5" s="1">
        <v>10.25</v>
      </c>
      <c r="E5" s="1">
        <v>14</v>
      </c>
      <c r="F5" s="1">
        <v>3</v>
      </c>
      <c r="G5" s="1" t="s">
        <v>16</v>
      </c>
    </row>
    <row r="6" spans="1:7" ht="15.75" customHeight="1" x14ac:dyDescent="0.25">
      <c r="A6" s="3">
        <v>44993</v>
      </c>
      <c r="B6" s="1" t="s">
        <v>14</v>
      </c>
      <c r="C6" s="1" t="s">
        <v>15</v>
      </c>
      <c r="D6" s="1">
        <v>10.25</v>
      </c>
      <c r="E6" s="1">
        <v>14</v>
      </c>
      <c r="F6" s="1">
        <v>1</v>
      </c>
      <c r="G6" s="1" t="s">
        <v>17</v>
      </c>
    </row>
    <row r="7" spans="1:7" ht="15.75" customHeight="1" x14ac:dyDescent="0.25">
      <c r="A7" s="3">
        <v>44994</v>
      </c>
      <c r="B7" s="1" t="s">
        <v>18</v>
      </c>
      <c r="C7" s="1" t="s">
        <v>19</v>
      </c>
      <c r="D7" s="1">
        <v>18.5</v>
      </c>
      <c r="E7" s="1">
        <v>23</v>
      </c>
      <c r="F7" s="1">
        <v>5</v>
      </c>
      <c r="G7" s="1" t="s">
        <v>20</v>
      </c>
    </row>
    <row r="8" spans="1:7" ht="15.75" customHeight="1" x14ac:dyDescent="0.25">
      <c r="A8" s="3">
        <v>44996</v>
      </c>
      <c r="B8" s="1" t="s">
        <v>21</v>
      </c>
      <c r="C8" s="1" t="s">
        <v>22</v>
      </c>
      <c r="D8" s="1">
        <v>15.67</v>
      </c>
      <c r="E8" s="1">
        <v>20</v>
      </c>
      <c r="F8" s="1">
        <v>8</v>
      </c>
      <c r="G8" s="1" t="s">
        <v>23</v>
      </c>
    </row>
    <row r="9" spans="1:7" ht="15.75" customHeight="1" x14ac:dyDescent="0.25">
      <c r="A9" s="3">
        <v>44996</v>
      </c>
      <c r="B9" s="1" t="s">
        <v>24</v>
      </c>
      <c r="C9" s="1" t="s">
        <v>25</v>
      </c>
      <c r="D9" s="1">
        <v>8.17</v>
      </c>
      <c r="E9" s="1">
        <v>13</v>
      </c>
      <c r="F9" s="1">
        <v>2</v>
      </c>
      <c r="G9" s="1" t="s">
        <v>26</v>
      </c>
    </row>
    <row r="10" spans="1:7" ht="15.75" customHeight="1" x14ac:dyDescent="0.25">
      <c r="A10" s="3">
        <v>44996</v>
      </c>
      <c r="B10" s="1" t="s">
        <v>24</v>
      </c>
      <c r="C10" s="1" t="s">
        <v>25</v>
      </c>
      <c r="D10" s="1">
        <v>8.17</v>
      </c>
      <c r="E10" s="1">
        <v>13</v>
      </c>
      <c r="F10" s="1">
        <v>5</v>
      </c>
      <c r="G10" s="1" t="s">
        <v>27</v>
      </c>
    </row>
    <row r="11" spans="1:7" ht="15.75" customHeight="1" x14ac:dyDescent="0.25">
      <c r="A11" s="3">
        <v>44998</v>
      </c>
      <c r="B11" s="1" t="s">
        <v>21</v>
      </c>
      <c r="C11" s="1" t="s">
        <v>28</v>
      </c>
      <c r="D11" s="1">
        <v>21.17</v>
      </c>
      <c r="E11" s="1">
        <v>25</v>
      </c>
      <c r="F11" s="1">
        <v>5</v>
      </c>
      <c r="G11" s="1" t="s">
        <v>29</v>
      </c>
    </row>
    <row r="12" spans="1:7" ht="15.75" customHeight="1" x14ac:dyDescent="0.25">
      <c r="A12" s="3">
        <v>44999</v>
      </c>
      <c r="B12" s="1" t="s">
        <v>30</v>
      </c>
      <c r="C12" s="1" t="s">
        <v>31</v>
      </c>
      <c r="D12" s="1">
        <v>20.329999999999998</v>
      </c>
      <c r="E12" s="1">
        <v>25</v>
      </c>
      <c r="F12" s="1">
        <v>1</v>
      </c>
      <c r="G12" s="1" t="s">
        <v>32</v>
      </c>
    </row>
    <row r="13" spans="1:7" ht="15.75" customHeight="1" x14ac:dyDescent="0.25">
      <c r="A13" s="3">
        <v>44999</v>
      </c>
      <c r="B13" s="1" t="s">
        <v>18</v>
      </c>
      <c r="C13" s="1" t="s">
        <v>33</v>
      </c>
      <c r="D13" s="1">
        <v>16.170000000000002</v>
      </c>
      <c r="E13" s="1">
        <v>20</v>
      </c>
      <c r="F13" s="1">
        <v>7</v>
      </c>
      <c r="G13" s="1" t="s">
        <v>34</v>
      </c>
    </row>
    <row r="14" spans="1:7" ht="15.75" customHeight="1" x14ac:dyDescent="0.25">
      <c r="A14" s="3">
        <v>45000</v>
      </c>
      <c r="B14" s="1" t="s">
        <v>30</v>
      </c>
      <c r="C14" s="1" t="s">
        <v>31</v>
      </c>
      <c r="D14" s="1">
        <v>20.329999999999998</v>
      </c>
      <c r="E14" s="1">
        <v>25</v>
      </c>
      <c r="F14" s="1">
        <v>5</v>
      </c>
      <c r="G14" s="1" t="s">
        <v>35</v>
      </c>
    </row>
    <row r="15" spans="1:7" ht="15.75" customHeight="1" x14ac:dyDescent="0.25">
      <c r="A15" s="3">
        <v>45001</v>
      </c>
      <c r="B15" s="1" t="s">
        <v>18</v>
      </c>
      <c r="C15" s="1" t="s">
        <v>19</v>
      </c>
      <c r="D15" s="1">
        <v>18.5</v>
      </c>
      <c r="E15" s="1">
        <v>23</v>
      </c>
      <c r="F15" s="1">
        <v>5</v>
      </c>
      <c r="G15" s="1" t="s">
        <v>36</v>
      </c>
    </row>
    <row r="16" spans="1:7" ht="15.75" customHeight="1" x14ac:dyDescent="0.25">
      <c r="A16" s="3">
        <v>45002</v>
      </c>
      <c r="B16" s="1" t="s">
        <v>10</v>
      </c>
      <c r="C16" s="1" t="s">
        <v>37</v>
      </c>
      <c r="D16" s="1">
        <v>13.83</v>
      </c>
      <c r="E16" s="1">
        <v>18</v>
      </c>
      <c r="F16" s="1">
        <v>8</v>
      </c>
      <c r="G16" s="1" t="s">
        <v>38</v>
      </c>
    </row>
    <row r="17" spans="1:7" ht="15.75" customHeight="1" x14ac:dyDescent="0.25">
      <c r="A17" s="3">
        <v>45002</v>
      </c>
      <c r="B17" s="1" t="s">
        <v>7</v>
      </c>
      <c r="C17" s="1" t="s">
        <v>39</v>
      </c>
      <c r="D17" s="1">
        <v>7.83</v>
      </c>
      <c r="E17" s="1">
        <v>12</v>
      </c>
      <c r="F17" s="1">
        <v>6</v>
      </c>
      <c r="G17" s="1" t="s">
        <v>40</v>
      </c>
    </row>
    <row r="18" spans="1:7" ht="15.75" customHeight="1" x14ac:dyDescent="0.25">
      <c r="A18" s="3">
        <v>45003</v>
      </c>
      <c r="B18" s="1" t="s">
        <v>18</v>
      </c>
      <c r="C18" s="1" t="s">
        <v>33</v>
      </c>
      <c r="D18" s="1">
        <v>16.170000000000002</v>
      </c>
      <c r="E18" s="1">
        <v>20</v>
      </c>
      <c r="F18" s="1">
        <v>4</v>
      </c>
      <c r="G18" s="1" t="s">
        <v>41</v>
      </c>
    </row>
    <row r="19" spans="1:7" ht="15.75" customHeight="1" x14ac:dyDescent="0.25">
      <c r="A19" s="3">
        <v>45003</v>
      </c>
      <c r="B19" s="1" t="s">
        <v>18</v>
      </c>
      <c r="C19" s="1" t="s">
        <v>19</v>
      </c>
      <c r="D19" s="1">
        <v>18.5</v>
      </c>
      <c r="E19" s="1">
        <v>23</v>
      </c>
      <c r="F19" s="1">
        <v>9</v>
      </c>
      <c r="G19" s="1" t="s">
        <v>42</v>
      </c>
    </row>
    <row r="20" spans="1:7" ht="15.75" customHeight="1" x14ac:dyDescent="0.25">
      <c r="A20" s="3">
        <v>45003</v>
      </c>
      <c r="B20" s="1" t="s">
        <v>10</v>
      </c>
      <c r="C20" s="1" t="s">
        <v>43</v>
      </c>
      <c r="D20" s="1">
        <v>43.5</v>
      </c>
      <c r="E20" s="1">
        <v>55</v>
      </c>
      <c r="F20" s="1">
        <v>10</v>
      </c>
      <c r="G20" s="1" t="s">
        <v>44</v>
      </c>
    </row>
    <row r="21" spans="1:7" ht="15.75" customHeight="1" x14ac:dyDescent="0.25">
      <c r="A21" s="3">
        <v>45003</v>
      </c>
      <c r="B21" s="1" t="s">
        <v>45</v>
      </c>
      <c r="C21" s="1" t="s">
        <v>46</v>
      </c>
      <c r="D21" s="1">
        <v>12</v>
      </c>
      <c r="E21" s="1">
        <v>17</v>
      </c>
      <c r="F21" s="1">
        <v>8</v>
      </c>
      <c r="G21" s="1" t="s">
        <v>47</v>
      </c>
    </row>
    <row r="22" spans="1:7" ht="15.75" customHeight="1" x14ac:dyDescent="0.25">
      <c r="A22" s="3">
        <v>45004</v>
      </c>
      <c r="B22" s="1" t="s">
        <v>48</v>
      </c>
      <c r="C22" s="1" t="s">
        <v>49</v>
      </c>
      <c r="D22" s="1">
        <v>38.72</v>
      </c>
      <c r="E22" s="1">
        <v>43</v>
      </c>
      <c r="F22" s="1">
        <v>9</v>
      </c>
      <c r="G22" s="1" t="s">
        <v>50</v>
      </c>
    </row>
    <row r="23" spans="1:7" ht="15.75" customHeight="1" x14ac:dyDescent="0.25">
      <c r="A23" s="3">
        <v>45004</v>
      </c>
      <c r="B23" s="1" t="s">
        <v>48</v>
      </c>
      <c r="C23" s="1" t="s">
        <v>49</v>
      </c>
      <c r="D23" s="1">
        <v>38.72</v>
      </c>
      <c r="E23" s="1">
        <v>43</v>
      </c>
      <c r="F23" s="1">
        <v>3</v>
      </c>
      <c r="G23" s="1" t="s">
        <v>51</v>
      </c>
    </row>
    <row r="24" spans="1:7" ht="15.75" customHeight="1" x14ac:dyDescent="0.25">
      <c r="A24" s="3">
        <v>45004</v>
      </c>
      <c r="B24" s="1" t="s">
        <v>7</v>
      </c>
      <c r="C24" s="1" t="s">
        <v>52</v>
      </c>
      <c r="D24" s="1">
        <v>14.5</v>
      </c>
      <c r="E24" s="1">
        <v>19</v>
      </c>
      <c r="F24" s="1">
        <v>10</v>
      </c>
      <c r="G24" s="1" t="s">
        <v>53</v>
      </c>
    </row>
    <row r="25" spans="1:7" ht="15.75" customHeight="1" x14ac:dyDescent="0.25">
      <c r="A25" s="3">
        <v>45005</v>
      </c>
      <c r="B25" s="1" t="s">
        <v>30</v>
      </c>
      <c r="C25" s="1" t="s">
        <v>31</v>
      </c>
      <c r="D25" s="1">
        <v>20.329999999999998</v>
      </c>
      <c r="E25" s="1">
        <v>25</v>
      </c>
      <c r="F25" s="1">
        <v>3</v>
      </c>
      <c r="G25" s="1" t="s">
        <v>54</v>
      </c>
    </row>
    <row r="26" spans="1:7" ht="15.75" customHeight="1" x14ac:dyDescent="0.25">
      <c r="A26" s="3">
        <v>45005</v>
      </c>
      <c r="B26" s="1" t="s">
        <v>7</v>
      </c>
      <c r="C26" s="1" t="s">
        <v>55</v>
      </c>
      <c r="D26" s="1">
        <v>12</v>
      </c>
      <c r="E26" s="1">
        <v>18</v>
      </c>
      <c r="F26" s="1">
        <v>10</v>
      </c>
      <c r="G26" s="1" t="s">
        <v>56</v>
      </c>
    </row>
    <row r="27" spans="1:7" ht="15.75" customHeight="1" x14ac:dyDescent="0.25">
      <c r="A27" s="3">
        <v>45005</v>
      </c>
      <c r="B27" s="1" t="s">
        <v>7</v>
      </c>
      <c r="C27" s="1" t="s">
        <v>55</v>
      </c>
      <c r="D27" s="1">
        <v>12</v>
      </c>
      <c r="E27" s="1">
        <v>18</v>
      </c>
      <c r="F27" s="1">
        <v>1</v>
      </c>
      <c r="G27" s="1" t="s">
        <v>57</v>
      </c>
    </row>
    <row r="28" spans="1:7" ht="15.75" customHeight="1" x14ac:dyDescent="0.25">
      <c r="A28" s="3">
        <v>45005</v>
      </c>
      <c r="B28" s="1" t="s">
        <v>7</v>
      </c>
      <c r="C28" s="1" t="s">
        <v>55</v>
      </c>
      <c r="D28" s="1">
        <v>12</v>
      </c>
      <c r="E28" s="1">
        <v>18</v>
      </c>
      <c r="F28" s="1">
        <v>2</v>
      </c>
      <c r="G28" s="1" t="s">
        <v>58</v>
      </c>
    </row>
    <row r="29" spans="1:7" ht="15.75" customHeight="1" x14ac:dyDescent="0.25">
      <c r="A29" s="3">
        <v>45005</v>
      </c>
      <c r="B29" s="1" t="s">
        <v>7</v>
      </c>
      <c r="C29" s="1" t="s">
        <v>55</v>
      </c>
      <c r="D29" s="1">
        <v>12</v>
      </c>
      <c r="E29" s="1">
        <v>18</v>
      </c>
      <c r="F29" s="1">
        <v>3</v>
      </c>
      <c r="G29" s="1" t="s">
        <v>59</v>
      </c>
    </row>
    <row r="30" spans="1:7" ht="15.75" customHeight="1" x14ac:dyDescent="0.25">
      <c r="A30" s="3">
        <v>45005</v>
      </c>
      <c r="B30" s="1" t="s">
        <v>7</v>
      </c>
      <c r="C30" s="1" t="s">
        <v>60</v>
      </c>
      <c r="D30" s="1">
        <v>13.5</v>
      </c>
      <c r="E30" s="1">
        <v>18</v>
      </c>
      <c r="F30" s="1">
        <v>7</v>
      </c>
      <c r="G30" s="1" t="s">
        <v>61</v>
      </c>
    </row>
    <row r="31" spans="1:7" ht="15.75" customHeight="1" x14ac:dyDescent="0.25">
      <c r="A31" s="3">
        <v>45005</v>
      </c>
      <c r="B31" s="1" t="s">
        <v>7</v>
      </c>
      <c r="C31" s="1" t="s">
        <v>60</v>
      </c>
      <c r="D31" s="1">
        <v>13.5</v>
      </c>
      <c r="E31" s="1">
        <v>18</v>
      </c>
      <c r="F31" s="1">
        <v>7</v>
      </c>
      <c r="G31" s="1" t="s">
        <v>62</v>
      </c>
    </row>
    <row r="32" spans="1:7" ht="15.75" customHeight="1" x14ac:dyDescent="0.25">
      <c r="A32" s="3">
        <v>45006</v>
      </c>
      <c r="B32" s="1" t="s">
        <v>14</v>
      </c>
      <c r="C32" s="1" t="s">
        <v>15</v>
      </c>
      <c r="D32" s="1">
        <v>10.25</v>
      </c>
      <c r="E32" s="1">
        <v>14</v>
      </c>
      <c r="F32" s="1">
        <v>1</v>
      </c>
      <c r="G32" s="1" t="s">
        <v>63</v>
      </c>
    </row>
    <row r="33" spans="1:7" ht="15.75" customHeight="1" x14ac:dyDescent="0.25">
      <c r="A33" s="3">
        <v>45006</v>
      </c>
      <c r="B33" s="1" t="s">
        <v>14</v>
      </c>
      <c r="C33" s="1" t="s">
        <v>15</v>
      </c>
      <c r="D33" s="1">
        <v>10.25</v>
      </c>
      <c r="E33" s="1">
        <v>14</v>
      </c>
      <c r="F33" s="1">
        <v>10</v>
      </c>
      <c r="G33" s="1" t="s">
        <v>64</v>
      </c>
    </row>
    <row r="34" spans="1:7" ht="15.75" customHeight="1" x14ac:dyDescent="0.25">
      <c r="A34" s="3">
        <v>45006</v>
      </c>
      <c r="B34" s="1" t="s">
        <v>21</v>
      </c>
      <c r="C34" s="1" t="s">
        <v>28</v>
      </c>
      <c r="D34" s="1">
        <v>21.17</v>
      </c>
      <c r="E34" s="1">
        <v>25</v>
      </c>
      <c r="F34" s="1">
        <v>10</v>
      </c>
      <c r="G34" s="1" t="s">
        <v>65</v>
      </c>
    </row>
    <row r="35" spans="1:7" ht="15.75" customHeight="1" x14ac:dyDescent="0.25">
      <c r="A35" s="3">
        <v>45006</v>
      </c>
      <c r="B35" s="1" t="s">
        <v>10</v>
      </c>
      <c r="C35" s="1" t="s">
        <v>66</v>
      </c>
      <c r="D35" s="1">
        <v>32.75</v>
      </c>
      <c r="E35" s="1">
        <v>40</v>
      </c>
      <c r="F35" s="1">
        <v>3</v>
      </c>
      <c r="G35" s="1" t="s">
        <v>67</v>
      </c>
    </row>
    <row r="36" spans="1:7" ht="15.75" customHeight="1" x14ac:dyDescent="0.25">
      <c r="A36" s="3">
        <v>45006</v>
      </c>
      <c r="B36" s="1" t="s">
        <v>7</v>
      </c>
      <c r="C36" s="1" t="s">
        <v>68</v>
      </c>
      <c r="D36" s="1">
        <v>10.5</v>
      </c>
      <c r="E36" s="1">
        <v>15</v>
      </c>
      <c r="F36" s="1">
        <v>2</v>
      </c>
      <c r="G36" s="1" t="s">
        <v>69</v>
      </c>
    </row>
    <row r="37" spans="1:7" ht="15.75" customHeight="1" x14ac:dyDescent="0.25">
      <c r="A37" s="3">
        <v>45007</v>
      </c>
      <c r="B37" s="1" t="s">
        <v>48</v>
      </c>
      <c r="C37" s="1" t="s">
        <v>49</v>
      </c>
      <c r="D37" s="1">
        <v>38.72</v>
      </c>
      <c r="E37" s="1">
        <v>43</v>
      </c>
      <c r="F37" s="1">
        <v>5</v>
      </c>
      <c r="G37" s="1" t="s">
        <v>70</v>
      </c>
    </row>
    <row r="38" spans="1:7" ht="15.75" customHeight="1" x14ac:dyDescent="0.25">
      <c r="A38" s="3">
        <v>45007</v>
      </c>
      <c r="B38" s="1" t="s">
        <v>71</v>
      </c>
      <c r="C38" s="1" t="s">
        <v>72</v>
      </c>
      <c r="D38" s="1">
        <v>22</v>
      </c>
      <c r="E38" s="1">
        <v>27</v>
      </c>
      <c r="F38" s="1">
        <v>8</v>
      </c>
      <c r="G38" s="1" t="s">
        <v>73</v>
      </c>
    </row>
    <row r="39" spans="1:7" ht="15.75" customHeight="1" x14ac:dyDescent="0.25">
      <c r="A39" s="3">
        <v>45007</v>
      </c>
      <c r="B39" s="1" t="s">
        <v>74</v>
      </c>
      <c r="C39" s="1" t="s">
        <v>75</v>
      </c>
      <c r="D39" s="1">
        <v>45.24</v>
      </c>
      <c r="E39" s="1">
        <v>65</v>
      </c>
      <c r="F39" s="1">
        <v>10</v>
      </c>
      <c r="G39" s="1" t="s">
        <v>76</v>
      </c>
    </row>
    <row r="40" spans="1:7" ht="15.75" customHeight="1" x14ac:dyDescent="0.25">
      <c r="A40" s="3">
        <v>45007</v>
      </c>
      <c r="B40" s="1" t="s">
        <v>7</v>
      </c>
      <c r="C40" s="1" t="s">
        <v>55</v>
      </c>
      <c r="D40" s="1">
        <v>12</v>
      </c>
      <c r="E40" s="1">
        <v>18</v>
      </c>
      <c r="F40" s="1">
        <v>10</v>
      </c>
      <c r="G40" s="1" t="s">
        <v>77</v>
      </c>
    </row>
    <row r="41" spans="1:7" ht="15.75" customHeight="1" x14ac:dyDescent="0.25">
      <c r="A41" s="3">
        <v>45008</v>
      </c>
      <c r="B41" s="1" t="s">
        <v>74</v>
      </c>
      <c r="C41" s="1" t="s">
        <v>78</v>
      </c>
      <c r="D41" s="1">
        <v>13</v>
      </c>
      <c r="E41" s="1">
        <v>18</v>
      </c>
      <c r="F41" s="1">
        <v>8</v>
      </c>
      <c r="G41" s="1" t="s">
        <v>79</v>
      </c>
    </row>
    <row r="42" spans="1:7" ht="15.75" customHeight="1" x14ac:dyDescent="0.25">
      <c r="A42" s="3">
        <v>45008</v>
      </c>
      <c r="B42" s="1" t="s">
        <v>74</v>
      </c>
      <c r="C42" s="1" t="s">
        <v>75</v>
      </c>
      <c r="D42" s="1">
        <v>45.24</v>
      </c>
      <c r="E42" s="1">
        <v>65</v>
      </c>
      <c r="F42" s="1">
        <v>6</v>
      </c>
      <c r="G42" s="1" t="s">
        <v>80</v>
      </c>
    </row>
    <row r="43" spans="1:7" ht="15.75" customHeight="1" x14ac:dyDescent="0.25">
      <c r="A43" s="3">
        <v>45008</v>
      </c>
      <c r="B43" s="1" t="s">
        <v>81</v>
      </c>
      <c r="C43" s="1" t="s">
        <v>82</v>
      </c>
      <c r="D43" s="1">
        <v>1.25</v>
      </c>
      <c r="E43" s="1">
        <v>3</v>
      </c>
      <c r="F43" s="1">
        <v>2</v>
      </c>
      <c r="G43" s="1" t="s">
        <v>83</v>
      </c>
    </row>
    <row r="44" spans="1:7" ht="15.75" customHeight="1" x14ac:dyDescent="0.25">
      <c r="A44" s="3">
        <v>45009</v>
      </c>
      <c r="B44" s="1" t="s">
        <v>74</v>
      </c>
      <c r="C44" s="1" t="s">
        <v>75</v>
      </c>
      <c r="D44" s="1">
        <v>45.24</v>
      </c>
      <c r="E44" s="1">
        <v>65</v>
      </c>
      <c r="F44" s="1">
        <v>6</v>
      </c>
      <c r="G44" s="1" t="s">
        <v>84</v>
      </c>
    </row>
    <row r="45" spans="1:7" ht="15.75" customHeight="1" x14ac:dyDescent="0.25">
      <c r="A45" s="3">
        <v>45009</v>
      </c>
      <c r="B45" s="1" t="s">
        <v>81</v>
      </c>
      <c r="C45" s="1" t="s">
        <v>85</v>
      </c>
      <c r="D45" s="1">
        <v>2.4500000000000002</v>
      </c>
      <c r="E45" s="1">
        <v>4</v>
      </c>
      <c r="F45" s="1">
        <v>8</v>
      </c>
      <c r="G45" s="1" t="s">
        <v>86</v>
      </c>
    </row>
    <row r="46" spans="1:7" ht="15.75" customHeight="1" x14ac:dyDescent="0.25">
      <c r="A46" s="3">
        <v>45010</v>
      </c>
      <c r="B46" s="1" t="s">
        <v>30</v>
      </c>
      <c r="C46" s="1" t="s">
        <v>31</v>
      </c>
      <c r="D46" s="1">
        <v>20.329999999999998</v>
      </c>
      <c r="E46" s="1">
        <v>25</v>
      </c>
      <c r="F46" s="1">
        <v>2</v>
      </c>
      <c r="G46" s="1" t="s">
        <v>87</v>
      </c>
    </row>
    <row r="47" spans="1:7" ht="15.75" customHeight="1" x14ac:dyDescent="0.25">
      <c r="A47" s="3">
        <v>45010</v>
      </c>
      <c r="B47" s="1" t="s">
        <v>14</v>
      </c>
      <c r="C47" s="1" t="s">
        <v>15</v>
      </c>
      <c r="D47" s="1">
        <v>10.25</v>
      </c>
      <c r="E47" s="1">
        <v>14</v>
      </c>
      <c r="F47" s="1">
        <v>2</v>
      </c>
      <c r="G47" s="1" t="s">
        <v>88</v>
      </c>
    </row>
    <row r="48" spans="1:7" ht="15.75" customHeight="1" x14ac:dyDescent="0.25">
      <c r="A48" s="3">
        <v>45010</v>
      </c>
      <c r="B48" s="1" t="s">
        <v>7</v>
      </c>
      <c r="C48" s="1" t="s">
        <v>89</v>
      </c>
      <c r="D48" s="1">
        <v>12</v>
      </c>
      <c r="E48" s="1">
        <v>17</v>
      </c>
      <c r="F48" s="1">
        <v>7</v>
      </c>
      <c r="G48" s="1" t="s">
        <v>90</v>
      </c>
    </row>
    <row r="49" spans="1:7" ht="15.75" customHeight="1" x14ac:dyDescent="0.25">
      <c r="A49" s="3">
        <v>45011</v>
      </c>
      <c r="B49" s="1" t="s">
        <v>91</v>
      </c>
      <c r="C49" s="1" t="s">
        <v>92</v>
      </c>
      <c r="D49" s="1">
        <v>15.5</v>
      </c>
      <c r="E49" s="1">
        <v>20</v>
      </c>
      <c r="F49" s="1">
        <v>7</v>
      </c>
      <c r="G49" s="1" t="s">
        <v>93</v>
      </c>
    </row>
    <row r="50" spans="1:7" ht="15.75" customHeight="1" x14ac:dyDescent="0.25">
      <c r="A50" s="3">
        <v>45011</v>
      </c>
      <c r="B50" s="1" t="s">
        <v>7</v>
      </c>
      <c r="C50" s="1" t="s">
        <v>94</v>
      </c>
      <c r="D50" s="1">
        <v>9.83</v>
      </c>
      <c r="E50" s="1">
        <v>14</v>
      </c>
      <c r="F50" s="1">
        <v>7</v>
      </c>
      <c r="G50" s="1" t="s">
        <v>95</v>
      </c>
    </row>
    <row r="51" spans="1:7" ht="15.75" customHeight="1" x14ac:dyDescent="0.25">
      <c r="A51" s="3">
        <v>45011</v>
      </c>
      <c r="B51" s="1" t="s">
        <v>7</v>
      </c>
      <c r="C51" s="1" t="s">
        <v>94</v>
      </c>
      <c r="D51" s="1">
        <v>9.83</v>
      </c>
      <c r="E51" s="1">
        <v>14</v>
      </c>
      <c r="F51" s="1">
        <v>4</v>
      </c>
      <c r="G51" s="1" t="s">
        <v>96</v>
      </c>
    </row>
    <row r="52" spans="1:7" ht="15.75" customHeight="1" x14ac:dyDescent="0.25">
      <c r="A52" s="3">
        <v>45011</v>
      </c>
      <c r="B52" s="1" t="s">
        <v>7</v>
      </c>
      <c r="C52" s="1" t="s">
        <v>60</v>
      </c>
      <c r="D52" s="1">
        <v>13.5</v>
      </c>
      <c r="E52" s="1">
        <v>18</v>
      </c>
      <c r="F52" s="1">
        <v>9</v>
      </c>
      <c r="G52" s="1" t="s">
        <v>97</v>
      </c>
    </row>
    <row r="53" spans="1:7" ht="15.75" customHeight="1" x14ac:dyDescent="0.25">
      <c r="A53" s="3">
        <v>45011</v>
      </c>
      <c r="B53" s="1" t="s">
        <v>7</v>
      </c>
      <c r="C53" s="1" t="s">
        <v>60</v>
      </c>
      <c r="D53" s="1">
        <v>13.5</v>
      </c>
      <c r="E53" s="1">
        <v>18</v>
      </c>
      <c r="F53" s="1">
        <v>6</v>
      </c>
      <c r="G53" s="1" t="s">
        <v>98</v>
      </c>
    </row>
    <row r="54" spans="1:7" ht="15.75" customHeight="1" x14ac:dyDescent="0.25">
      <c r="A54" s="3">
        <v>45011</v>
      </c>
      <c r="B54" s="1" t="s">
        <v>7</v>
      </c>
      <c r="C54" s="1" t="s">
        <v>60</v>
      </c>
      <c r="D54" s="1">
        <v>13.5</v>
      </c>
      <c r="E54" s="1">
        <v>18</v>
      </c>
      <c r="F54" s="1">
        <v>2</v>
      </c>
      <c r="G54" s="1" t="s">
        <v>99</v>
      </c>
    </row>
    <row r="55" spans="1:7" ht="15.75" customHeight="1" x14ac:dyDescent="0.25">
      <c r="A55" s="3">
        <v>45012</v>
      </c>
      <c r="B55" s="1" t="s">
        <v>21</v>
      </c>
      <c r="C55" s="1" t="s">
        <v>100</v>
      </c>
      <c r="D55" s="1">
        <v>16.170000000000002</v>
      </c>
      <c r="E55" s="1">
        <v>20</v>
      </c>
      <c r="F55" s="1">
        <v>4</v>
      </c>
      <c r="G55" s="1" t="s">
        <v>101</v>
      </c>
    </row>
    <row r="56" spans="1:7" ht="15.75" customHeight="1" x14ac:dyDescent="0.25">
      <c r="A56" s="3">
        <v>45012</v>
      </c>
      <c r="B56" s="1" t="s">
        <v>7</v>
      </c>
      <c r="C56" s="1" t="s">
        <v>68</v>
      </c>
      <c r="D56" s="1">
        <v>10.5</v>
      </c>
      <c r="E56" s="1">
        <v>15</v>
      </c>
      <c r="F56" s="1">
        <v>1</v>
      </c>
      <c r="G56" s="1" t="s">
        <v>102</v>
      </c>
    </row>
    <row r="57" spans="1:7" ht="15.75" customHeight="1" x14ac:dyDescent="0.25">
      <c r="A57" s="3">
        <v>45012</v>
      </c>
      <c r="B57" s="1" t="s">
        <v>7</v>
      </c>
      <c r="C57" s="1" t="s">
        <v>68</v>
      </c>
      <c r="D57" s="1">
        <v>10.5</v>
      </c>
      <c r="E57" s="1">
        <v>15</v>
      </c>
      <c r="F57" s="1">
        <v>3</v>
      </c>
      <c r="G57" s="1" t="s">
        <v>103</v>
      </c>
    </row>
    <row r="58" spans="1:7" ht="15.75" customHeight="1" x14ac:dyDescent="0.25">
      <c r="A58" s="3">
        <v>45012</v>
      </c>
      <c r="B58" s="1" t="s">
        <v>7</v>
      </c>
      <c r="C58" s="1" t="s">
        <v>68</v>
      </c>
      <c r="D58" s="1">
        <v>10.5</v>
      </c>
      <c r="E58" s="1">
        <v>15</v>
      </c>
      <c r="F58" s="1">
        <v>4</v>
      </c>
      <c r="G58" s="1" t="s">
        <v>104</v>
      </c>
    </row>
    <row r="59" spans="1:7" ht="15.75" customHeight="1" x14ac:dyDescent="0.25">
      <c r="A59" s="3">
        <v>45013</v>
      </c>
      <c r="B59" s="1" t="s">
        <v>30</v>
      </c>
      <c r="C59" s="1" t="s">
        <v>105</v>
      </c>
      <c r="D59" s="1">
        <v>19.829999999999998</v>
      </c>
      <c r="E59" s="1">
        <v>24</v>
      </c>
      <c r="F59" s="1">
        <v>8</v>
      </c>
      <c r="G59" s="1" t="s">
        <v>106</v>
      </c>
    </row>
    <row r="60" spans="1:7" ht="15.75" customHeight="1" x14ac:dyDescent="0.25">
      <c r="A60" s="3">
        <v>45013</v>
      </c>
      <c r="B60" s="1" t="s">
        <v>71</v>
      </c>
      <c r="C60" s="1" t="s">
        <v>72</v>
      </c>
      <c r="D60" s="1">
        <v>22</v>
      </c>
      <c r="E60" s="1">
        <v>27</v>
      </c>
      <c r="F60" s="1">
        <v>8</v>
      </c>
      <c r="G60" s="1" t="s">
        <v>107</v>
      </c>
    </row>
    <row r="61" spans="1:7" ht="15.75" customHeight="1" x14ac:dyDescent="0.25">
      <c r="A61" s="3">
        <v>45013</v>
      </c>
      <c r="B61" s="1" t="s">
        <v>10</v>
      </c>
      <c r="C61" s="1" t="s">
        <v>43</v>
      </c>
      <c r="D61" s="1">
        <v>43.5</v>
      </c>
      <c r="E61" s="1">
        <v>55</v>
      </c>
      <c r="F61" s="1">
        <v>10</v>
      </c>
      <c r="G61" s="1" t="s">
        <v>108</v>
      </c>
    </row>
    <row r="62" spans="1:7" ht="15.75" customHeight="1" x14ac:dyDescent="0.25">
      <c r="A62" s="3">
        <v>45013</v>
      </c>
      <c r="B62" s="1" t="s">
        <v>24</v>
      </c>
      <c r="C62" s="1" t="s">
        <v>109</v>
      </c>
      <c r="D62" s="1">
        <v>10.5</v>
      </c>
      <c r="E62" s="1">
        <v>15</v>
      </c>
      <c r="F62" s="1">
        <v>3</v>
      </c>
      <c r="G62" s="1" t="s">
        <v>110</v>
      </c>
    </row>
    <row r="63" spans="1:7" ht="15.75" customHeight="1" x14ac:dyDescent="0.25">
      <c r="A63" s="3">
        <v>45013</v>
      </c>
      <c r="B63" s="1" t="s">
        <v>7</v>
      </c>
      <c r="C63" s="1" t="s">
        <v>60</v>
      </c>
      <c r="D63" s="1">
        <v>13.5</v>
      </c>
      <c r="E63" s="1">
        <v>18</v>
      </c>
      <c r="F63" s="1">
        <v>3</v>
      </c>
      <c r="G63" s="1" t="s">
        <v>111</v>
      </c>
    </row>
    <row r="64" spans="1:7" ht="15.75" customHeight="1" x14ac:dyDescent="0.25">
      <c r="A64" s="3">
        <v>45014</v>
      </c>
      <c r="B64" s="1" t="s">
        <v>21</v>
      </c>
      <c r="C64" s="1" t="s">
        <v>112</v>
      </c>
      <c r="D64" s="1">
        <v>12.5</v>
      </c>
      <c r="E64" s="1">
        <v>16</v>
      </c>
      <c r="F64" s="1">
        <v>7</v>
      </c>
      <c r="G64" s="1" t="s">
        <v>113</v>
      </c>
    </row>
    <row r="65" spans="1:7" ht="15.75" customHeight="1" x14ac:dyDescent="0.25">
      <c r="A65" s="3">
        <v>45014</v>
      </c>
      <c r="B65" s="1" t="s">
        <v>21</v>
      </c>
      <c r="C65" s="1" t="s">
        <v>28</v>
      </c>
      <c r="D65" s="1">
        <v>21.17</v>
      </c>
      <c r="E65" s="1">
        <v>25</v>
      </c>
      <c r="F65" s="1">
        <v>10</v>
      </c>
      <c r="G65" s="1" t="s">
        <v>114</v>
      </c>
    </row>
    <row r="66" spans="1:7" ht="15.75" customHeight="1" x14ac:dyDescent="0.25">
      <c r="A66" s="3">
        <v>45014</v>
      </c>
      <c r="B66" s="1" t="s">
        <v>7</v>
      </c>
      <c r="C66" s="1" t="s">
        <v>60</v>
      </c>
      <c r="D66" s="1">
        <v>13.5</v>
      </c>
      <c r="E66" s="1">
        <v>18</v>
      </c>
      <c r="F66" s="1">
        <v>8</v>
      </c>
      <c r="G66" s="1" t="s">
        <v>115</v>
      </c>
    </row>
    <row r="67" spans="1:7" ht="15.75" customHeight="1" x14ac:dyDescent="0.25">
      <c r="A67" s="3">
        <v>45015</v>
      </c>
      <c r="B67" s="1" t="s">
        <v>24</v>
      </c>
      <c r="C67" s="1" t="s">
        <v>116</v>
      </c>
      <c r="D67" s="1">
        <v>7.5</v>
      </c>
      <c r="E67" s="1">
        <v>12</v>
      </c>
      <c r="F67" s="1">
        <v>9</v>
      </c>
      <c r="G67" s="1" t="s">
        <v>117</v>
      </c>
    </row>
    <row r="68" spans="1:7" ht="15.75" customHeight="1" x14ac:dyDescent="0.25">
      <c r="A68" s="3">
        <v>45015</v>
      </c>
      <c r="B68" s="1" t="s">
        <v>7</v>
      </c>
      <c r="C68" s="1" t="s">
        <v>89</v>
      </c>
      <c r="D68" s="1">
        <v>12</v>
      </c>
      <c r="E68" s="1">
        <v>17</v>
      </c>
      <c r="F68" s="1">
        <v>9</v>
      </c>
      <c r="G68" s="1" t="s">
        <v>118</v>
      </c>
    </row>
    <row r="69" spans="1:7" ht="15.75" customHeight="1" x14ac:dyDescent="0.25">
      <c r="A69" s="3">
        <v>45016</v>
      </c>
      <c r="B69" s="1" t="s">
        <v>30</v>
      </c>
      <c r="C69" s="1" t="s">
        <v>119</v>
      </c>
      <c r="D69" s="1">
        <v>14</v>
      </c>
      <c r="E69" s="1">
        <v>19</v>
      </c>
      <c r="F69" s="1">
        <v>10</v>
      </c>
      <c r="G69" s="1" t="s">
        <v>120</v>
      </c>
    </row>
    <row r="70" spans="1:7" ht="15.75" customHeight="1" x14ac:dyDescent="0.25">
      <c r="A70" s="3">
        <v>45016</v>
      </c>
      <c r="B70" s="1" t="s">
        <v>81</v>
      </c>
      <c r="C70" s="1" t="s">
        <v>121</v>
      </c>
      <c r="D70" s="1">
        <v>3.15</v>
      </c>
      <c r="E70" s="1">
        <v>5</v>
      </c>
      <c r="F70" s="1">
        <v>4</v>
      </c>
      <c r="G70" s="1" t="s">
        <v>122</v>
      </c>
    </row>
    <row r="71" spans="1:7" ht="15.75" customHeight="1" x14ac:dyDescent="0.25">
      <c r="A71" s="3">
        <v>45019</v>
      </c>
      <c r="B71" s="1" t="s">
        <v>74</v>
      </c>
      <c r="C71" s="1" t="s">
        <v>123</v>
      </c>
      <c r="D71" s="1">
        <v>23.5</v>
      </c>
      <c r="E71" s="1">
        <v>28</v>
      </c>
      <c r="F71" s="1">
        <v>9</v>
      </c>
      <c r="G71" s="1" t="s">
        <v>124</v>
      </c>
    </row>
    <row r="72" spans="1:7" ht="15.75" customHeight="1" x14ac:dyDescent="0.25">
      <c r="A72" s="3">
        <v>45020</v>
      </c>
      <c r="B72" s="1" t="s">
        <v>30</v>
      </c>
      <c r="C72" s="1" t="s">
        <v>125</v>
      </c>
      <c r="D72" s="1">
        <v>12.33</v>
      </c>
      <c r="E72" s="1">
        <v>17</v>
      </c>
      <c r="F72" s="1">
        <v>7</v>
      </c>
      <c r="G72" s="1" t="s">
        <v>126</v>
      </c>
    </row>
    <row r="73" spans="1:7" ht="15.75" customHeight="1" x14ac:dyDescent="0.25">
      <c r="A73" s="3">
        <v>45022</v>
      </c>
      <c r="B73" s="1" t="s">
        <v>30</v>
      </c>
      <c r="C73" s="1" t="s">
        <v>119</v>
      </c>
      <c r="D73" s="1">
        <v>14</v>
      </c>
      <c r="E73" s="1">
        <v>19</v>
      </c>
      <c r="F73" s="1">
        <v>1</v>
      </c>
      <c r="G73" s="1" t="s">
        <v>127</v>
      </c>
    </row>
    <row r="74" spans="1:7" ht="15.75" customHeight="1" x14ac:dyDescent="0.25">
      <c r="A74" s="3">
        <v>45022</v>
      </c>
      <c r="B74" s="1" t="s">
        <v>74</v>
      </c>
      <c r="C74" s="1" t="s">
        <v>78</v>
      </c>
      <c r="D74" s="1">
        <v>13</v>
      </c>
      <c r="E74" s="1">
        <v>18</v>
      </c>
      <c r="F74" s="1">
        <v>6</v>
      </c>
      <c r="G74" s="1" t="s">
        <v>128</v>
      </c>
    </row>
    <row r="75" spans="1:7" ht="15.75" customHeight="1" x14ac:dyDescent="0.25">
      <c r="A75" s="3">
        <v>45022</v>
      </c>
      <c r="B75" s="1" t="s">
        <v>21</v>
      </c>
      <c r="C75" s="1" t="s">
        <v>112</v>
      </c>
      <c r="D75" s="1">
        <v>12.5</v>
      </c>
      <c r="E75" s="1">
        <v>16</v>
      </c>
      <c r="F75" s="1">
        <v>6</v>
      </c>
      <c r="G75" s="1" t="s">
        <v>129</v>
      </c>
    </row>
    <row r="76" spans="1:7" ht="15.75" customHeight="1" x14ac:dyDescent="0.25">
      <c r="A76" s="3">
        <v>45022</v>
      </c>
      <c r="B76" s="1" t="s">
        <v>10</v>
      </c>
      <c r="C76" s="1" t="s">
        <v>43</v>
      </c>
      <c r="D76" s="1">
        <v>43.5</v>
      </c>
      <c r="E76" s="1">
        <v>55</v>
      </c>
      <c r="F76" s="1">
        <v>10</v>
      </c>
      <c r="G76" s="1" t="s">
        <v>130</v>
      </c>
    </row>
    <row r="77" spans="1:7" ht="15.75" customHeight="1" x14ac:dyDescent="0.25">
      <c r="A77" s="3">
        <v>45023</v>
      </c>
      <c r="B77" s="1" t="s">
        <v>7</v>
      </c>
      <c r="C77" s="1" t="s">
        <v>131</v>
      </c>
      <c r="D77" s="1">
        <v>8.75</v>
      </c>
      <c r="E77" s="1">
        <v>14</v>
      </c>
      <c r="F77" s="1">
        <v>8</v>
      </c>
      <c r="G77" s="1" t="s">
        <v>132</v>
      </c>
    </row>
    <row r="78" spans="1:7" ht="15.75" customHeight="1" x14ac:dyDescent="0.25">
      <c r="A78" s="3">
        <v>45023</v>
      </c>
      <c r="B78" s="1" t="s">
        <v>7</v>
      </c>
      <c r="C78" s="1" t="s">
        <v>133</v>
      </c>
      <c r="D78" s="1">
        <v>10.25</v>
      </c>
      <c r="E78" s="1">
        <v>15</v>
      </c>
      <c r="F78" s="1">
        <v>6</v>
      </c>
      <c r="G78" s="1" t="s">
        <v>134</v>
      </c>
    </row>
    <row r="79" spans="1:7" ht="15.75" customHeight="1" x14ac:dyDescent="0.25">
      <c r="A79" s="3">
        <v>45024</v>
      </c>
      <c r="B79" s="1" t="s">
        <v>30</v>
      </c>
      <c r="C79" s="1" t="s">
        <v>119</v>
      </c>
      <c r="D79" s="1">
        <v>14</v>
      </c>
      <c r="E79" s="1">
        <v>19</v>
      </c>
      <c r="F79" s="1">
        <v>10</v>
      </c>
      <c r="G79" s="1" t="s">
        <v>135</v>
      </c>
    </row>
    <row r="80" spans="1:7" ht="15.75" customHeight="1" x14ac:dyDescent="0.25">
      <c r="A80" s="3">
        <v>45024</v>
      </c>
      <c r="B80" s="1" t="s">
        <v>91</v>
      </c>
      <c r="C80" s="1" t="s">
        <v>92</v>
      </c>
      <c r="D80" s="1">
        <v>15.5</v>
      </c>
      <c r="E80" s="1">
        <v>20</v>
      </c>
      <c r="F80" s="1">
        <v>8</v>
      </c>
      <c r="G80" s="1" t="s">
        <v>136</v>
      </c>
    </row>
    <row r="81" spans="1:7" ht="15.75" customHeight="1" x14ac:dyDescent="0.25">
      <c r="A81" s="3">
        <v>45024</v>
      </c>
      <c r="B81" s="1" t="s">
        <v>10</v>
      </c>
      <c r="C81" s="1" t="s">
        <v>137</v>
      </c>
      <c r="D81" s="1">
        <v>12.5</v>
      </c>
      <c r="E81" s="1">
        <v>17</v>
      </c>
      <c r="F81" s="1">
        <v>5</v>
      </c>
      <c r="G81" s="1" t="s">
        <v>138</v>
      </c>
    </row>
    <row r="82" spans="1:7" ht="15.75" customHeight="1" x14ac:dyDescent="0.25">
      <c r="A82" s="3">
        <v>45024</v>
      </c>
      <c r="B82" s="1" t="s">
        <v>24</v>
      </c>
      <c r="C82" s="1" t="s">
        <v>116</v>
      </c>
      <c r="D82" s="1">
        <v>7.5</v>
      </c>
      <c r="E82" s="1">
        <v>12</v>
      </c>
      <c r="F82" s="1">
        <v>7</v>
      </c>
      <c r="G82" s="1" t="s">
        <v>139</v>
      </c>
    </row>
    <row r="83" spans="1:7" ht="15.75" customHeight="1" x14ac:dyDescent="0.25">
      <c r="A83" s="3">
        <v>45024</v>
      </c>
      <c r="B83" s="1" t="s">
        <v>24</v>
      </c>
      <c r="C83" s="1" t="s">
        <v>116</v>
      </c>
      <c r="D83" s="1">
        <v>7.5</v>
      </c>
      <c r="E83" s="1">
        <v>12</v>
      </c>
      <c r="F83" s="1">
        <v>8</v>
      </c>
      <c r="G83" s="1" t="s">
        <v>140</v>
      </c>
    </row>
    <row r="84" spans="1:7" ht="15.75" customHeight="1" x14ac:dyDescent="0.25">
      <c r="A84" s="3">
        <v>45024</v>
      </c>
      <c r="B84" s="1" t="s">
        <v>7</v>
      </c>
      <c r="C84" s="1" t="s">
        <v>141</v>
      </c>
      <c r="D84" s="1">
        <v>12.29</v>
      </c>
      <c r="E84" s="1">
        <v>17</v>
      </c>
      <c r="F84" s="1">
        <v>4</v>
      </c>
      <c r="G84" s="1" t="s">
        <v>142</v>
      </c>
    </row>
    <row r="85" spans="1:7" ht="15.75" customHeight="1" x14ac:dyDescent="0.25">
      <c r="A85" s="3">
        <v>45025</v>
      </c>
      <c r="B85" s="1" t="s">
        <v>30</v>
      </c>
      <c r="C85" s="1" t="s">
        <v>119</v>
      </c>
      <c r="D85" s="1">
        <v>14</v>
      </c>
      <c r="E85" s="1">
        <v>19</v>
      </c>
      <c r="F85" s="1">
        <v>4</v>
      </c>
      <c r="G85" s="1" t="s">
        <v>143</v>
      </c>
    </row>
    <row r="86" spans="1:7" ht="15.75" customHeight="1" x14ac:dyDescent="0.25">
      <c r="A86" s="3">
        <v>45025</v>
      </c>
      <c r="B86" s="1" t="s">
        <v>21</v>
      </c>
      <c r="C86" s="1" t="s">
        <v>28</v>
      </c>
      <c r="D86" s="1">
        <v>21.17</v>
      </c>
      <c r="E86" s="1">
        <v>25</v>
      </c>
      <c r="F86" s="1">
        <v>5</v>
      </c>
      <c r="G86" s="1" t="s">
        <v>144</v>
      </c>
    </row>
    <row r="87" spans="1:7" ht="15.75" customHeight="1" x14ac:dyDescent="0.25">
      <c r="A87" s="3">
        <v>45025</v>
      </c>
      <c r="B87" s="1" t="s">
        <v>24</v>
      </c>
      <c r="C87" s="1" t="s">
        <v>145</v>
      </c>
      <c r="D87" s="1">
        <v>9.5</v>
      </c>
      <c r="E87" s="1">
        <v>14</v>
      </c>
      <c r="F87" s="1">
        <v>8</v>
      </c>
      <c r="G87" s="1" t="s">
        <v>146</v>
      </c>
    </row>
    <row r="88" spans="1:7" ht="15.75" customHeight="1" x14ac:dyDescent="0.25">
      <c r="A88" s="3">
        <v>45025</v>
      </c>
      <c r="B88" s="1" t="s">
        <v>7</v>
      </c>
      <c r="C88" s="1" t="s">
        <v>8</v>
      </c>
      <c r="D88" s="1">
        <v>8.17</v>
      </c>
      <c r="E88" s="1">
        <v>13</v>
      </c>
      <c r="F88" s="1">
        <v>7</v>
      </c>
      <c r="G88" s="1" t="s">
        <v>147</v>
      </c>
    </row>
    <row r="89" spans="1:7" ht="15.75" customHeight="1" x14ac:dyDescent="0.25">
      <c r="A89" s="3">
        <v>45026</v>
      </c>
      <c r="B89" s="1" t="s">
        <v>45</v>
      </c>
      <c r="C89" s="1" t="s">
        <v>148</v>
      </c>
      <c r="D89" s="1">
        <v>52</v>
      </c>
      <c r="E89" s="1">
        <v>60</v>
      </c>
      <c r="F89" s="1">
        <v>2</v>
      </c>
      <c r="G89" s="1" t="s">
        <v>149</v>
      </c>
    </row>
    <row r="90" spans="1:7" ht="15.75" customHeight="1" x14ac:dyDescent="0.25">
      <c r="A90" s="3">
        <v>45027</v>
      </c>
      <c r="B90" s="1" t="s">
        <v>48</v>
      </c>
      <c r="C90" s="1" t="s">
        <v>150</v>
      </c>
      <c r="D90" s="1">
        <v>39</v>
      </c>
      <c r="E90" s="1">
        <v>45</v>
      </c>
      <c r="F90" s="1">
        <v>9</v>
      </c>
      <c r="G90" s="1" t="s">
        <v>151</v>
      </c>
    </row>
    <row r="91" spans="1:7" ht="15.75" customHeight="1" x14ac:dyDescent="0.25">
      <c r="A91" s="3">
        <v>45027</v>
      </c>
      <c r="B91" s="1" t="s">
        <v>48</v>
      </c>
      <c r="C91" s="1" t="s">
        <v>150</v>
      </c>
      <c r="D91" s="1">
        <v>39</v>
      </c>
      <c r="E91" s="1">
        <v>45</v>
      </c>
      <c r="F91" s="1">
        <v>1</v>
      </c>
      <c r="G91" s="1" t="s">
        <v>152</v>
      </c>
    </row>
    <row r="92" spans="1:7" ht="15.75" customHeight="1" x14ac:dyDescent="0.25">
      <c r="A92" s="3">
        <v>45027</v>
      </c>
      <c r="B92" s="1" t="s">
        <v>18</v>
      </c>
      <c r="C92" s="1" t="s">
        <v>153</v>
      </c>
      <c r="D92" s="1">
        <v>12.5</v>
      </c>
      <c r="E92" s="1">
        <v>18</v>
      </c>
      <c r="F92" s="1">
        <v>6</v>
      </c>
      <c r="G92" s="1" t="s">
        <v>154</v>
      </c>
    </row>
    <row r="93" spans="1:7" ht="15.75" customHeight="1" x14ac:dyDescent="0.25">
      <c r="A93" s="3">
        <v>45027</v>
      </c>
      <c r="B93" s="1" t="s">
        <v>21</v>
      </c>
      <c r="C93" s="1" t="s">
        <v>28</v>
      </c>
      <c r="D93" s="1">
        <v>21.17</v>
      </c>
      <c r="E93" s="1">
        <v>25</v>
      </c>
      <c r="F93" s="1">
        <v>2</v>
      </c>
      <c r="G93" s="1" t="s">
        <v>155</v>
      </c>
    </row>
    <row r="94" spans="1:7" ht="15.75" customHeight="1" x14ac:dyDescent="0.25">
      <c r="A94" s="3">
        <v>45027</v>
      </c>
      <c r="B94" s="1" t="s">
        <v>7</v>
      </c>
      <c r="C94" s="1" t="s">
        <v>94</v>
      </c>
      <c r="D94" s="1">
        <v>9.83</v>
      </c>
      <c r="E94" s="1">
        <v>14</v>
      </c>
      <c r="F94" s="1">
        <v>7</v>
      </c>
      <c r="G94" s="1" t="s">
        <v>156</v>
      </c>
    </row>
    <row r="95" spans="1:7" ht="15.75" customHeight="1" x14ac:dyDescent="0.25">
      <c r="A95" s="3">
        <v>45028</v>
      </c>
      <c r="B95" s="1" t="s">
        <v>30</v>
      </c>
      <c r="C95" s="1" t="s">
        <v>119</v>
      </c>
      <c r="D95" s="1">
        <v>14</v>
      </c>
      <c r="E95" s="1">
        <v>19</v>
      </c>
      <c r="F95" s="1">
        <v>2</v>
      </c>
      <c r="G95" s="1" t="s">
        <v>157</v>
      </c>
    </row>
    <row r="96" spans="1:7" ht="15.75" customHeight="1" x14ac:dyDescent="0.25">
      <c r="A96" s="3">
        <v>45028</v>
      </c>
      <c r="B96" s="1" t="s">
        <v>18</v>
      </c>
      <c r="C96" s="1" t="s">
        <v>33</v>
      </c>
      <c r="D96" s="1">
        <v>16.170000000000002</v>
      </c>
      <c r="E96" s="1">
        <v>20</v>
      </c>
      <c r="F96" s="1">
        <v>7</v>
      </c>
      <c r="G96" s="1" t="s">
        <v>158</v>
      </c>
    </row>
    <row r="97" spans="1:7" ht="15.75" customHeight="1" x14ac:dyDescent="0.25">
      <c r="A97" s="3">
        <v>45028</v>
      </c>
      <c r="B97" s="1" t="s">
        <v>24</v>
      </c>
      <c r="C97" s="1" t="s">
        <v>25</v>
      </c>
      <c r="D97" s="1">
        <v>8.17</v>
      </c>
      <c r="E97" s="1">
        <v>13</v>
      </c>
      <c r="F97" s="1">
        <v>3</v>
      </c>
      <c r="G97" s="1" t="s">
        <v>159</v>
      </c>
    </row>
    <row r="98" spans="1:7" ht="15.75" customHeight="1" x14ac:dyDescent="0.25">
      <c r="A98" s="3">
        <v>45030</v>
      </c>
      <c r="B98" s="1" t="s">
        <v>7</v>
      </c>
      <c r="C98" s="1" t="s">
        <v>141</v>
      </c>
      <c r="D98" s="1">
        <v>12.29</v>
      </c>
      <c r="E98" s="1">
        <v>17</v>
      </c>
      <c r="F98" s="1">
        <v>7</v>
      </c>
      <c r="G98" s="1" t="s">
        <v>160</v>
      </c>
    </row>
    <row r="99" spans="1:7" ht="15.75" customHeight="1" x14ac:dyDescent="0.25">
      <c r="A99" s="3">
        <v>45031</v>
      </c>
      <c r="B99" s="1" t="s">
        <v>71</v>
      </c>
      <c r="C99" s="1" t="s">
        <v>161</v>
      </c>
      <c r="D99" s="1">
        <v>48.67</v>
      </c>
      <c r="E99" s="1">
        <v>58</v>
      </c>
      <c r="F99" s="1">
        <v>6</v>
      </c>
      <c r="G99" s="1" t="s">
        <v>162</v>
      </c>
    </row>
    <row r="100" spans="1:7" ht="15.75" customHeight="1" x14ac:dyDescent="0.25">
      <c r="A100" s="3">
        <v>45031</v>
      </c>
      <c r="B100" s="1" t="s">
        <v>71</v>
      </c>
      <c r="C100" s="1" t="s">
        <v>161</v>
      </c>
      <c r="D100" s="1">
        <v>48.67</v>
      </c>
      <c r="E100" s="1">
        <v>58</v>
      </c>
      <c r="F100" s="1">
        <v>7</v>
      </c>
      <c r="G100" s="1" t="s">
        <v>163</v>
      </c>
    </row>
    <row r="101" spans="1:7" ht="15.75" customHeight="1" x14ac:dyDescent="0.25">
      <c r="A101" s="3">
        <v>45032</v>
      </c>
      <c r="B101" s="1" t="s">
        <v>14</v>
      </c>
      <c r="C101" s="1" t="s">
        <v>164</v>
      </c>
      <c r="D101" s="1">
        <v>15.65</v>
      </c>
      <c r="E101" s="1">
        <v>22</v>
      </c>
      <c r="F101" s="1">
        <v>7</v>
      </c>
      <c r="G101" s="1" t="s">
        <v>165</v>
      </c>
    </row>
    <row r="102" spans="1:7" ht="15.75" customHeight="1" x14ac:dyDescent="0.25">
      <c r="A102" s="3">
        <v>45032</v>
      </c>
      <c r="B102" s="1" t="s">
        <v>14</v>
      </c>
      <c r="C102" s="1" t="s">
        <v>164</v>
      </c>
      <c r="D102" s="1">
        <v>15.65</v>
      </c>
      <c r="E102" s="1">
        <v>22</v>
      </c>
      <c r="F102" s="1">
        <v>2</v>
      </c>
      <c r="G102" s="1" t="s">
        <v>166</v>
      </c>
    </row>
    <row r="103" spans="1:7" ht="15.75" customHeight="1" x14ac:dyDescent="0.25">
      <c r="A103" s="3">
        <v>45033</v>
      </c>
      <c r="B103" s="1" t="s">
        <v>18</v>
      </c>
      <c r="C103" s="1" t="s">
        <v>19</v>
      </c>
      <c r="D103" s="1">
        <v>18.5</v>
      </c>
      <c r="E103" s="1">
        <v>23</v>
      </c>
      <c r="F103" s="1">
        <v>4</v>
      </c>
      <c r="G103" s="1" t="s">
        <v>167</v>
      </c>
    </row>
    <row r="104" spans="1:7" ht="15.75" customHeight="1" x14ac:dyDescent="0.25">
      <c r="A104" s="3">
        <v>45034</v>
      </c>
      <c r="B104" s="1" t="s">
        <v>7</v>
      </c>
      <c r="C104" s="1" t="s">
        <v>94</v>
      </c>
      <c r="D104" s="1">
        <v>9.83</v>
      </c>
      <c r="E104" s="1">
        <v>14</v>
      </c>
      <c r="F104" s="1">
        <v>8</v>
      </c>
      <c r="G104" s="1" t="s">
        <v>168</v>
      </c>
    </row>
    <row r="105" spans="1:7" ht="15.75" customHeight="1" x14ac:dyDescent="0.25">
      <c r="A105" s="3">
        <v>45034</v>
      </c>
      <c r="B105" s="1" t="s">
        <v>7</v>
      </c>
      <c r="C105" s="1" t="s">
        <v>94</v>
      </c>
      <c r="D105" s="1">
        <v>9.83</v>
      </c>
      <c r="E105" s="1">
        <v>14</v>
      </c>
      <c r="F105" s="1">
        <v>2</v>
      </c>
      <c r="G105" s="1" t="s">
        <v>169</v>
      </c>
    </row>
    <row r="106" spans="1:7" ht="15.75" customHeight="1" x14ac:dyDescent="0.25">
      <c r="A106" s="3">
        <v>45034</v>
      </c>
      <c r="B106" s="1" t="s">
        <v>7</v>
      </c>
      <c r="C106" s="1" t="s">
        <v>133</v>
      </c>
      <c r="D106" s="1">
        <v>10.25</v>
      </c>
      <c r="E106" s="1">
        <v>15</v>
      </c>
      <c r="F106" s="1">
        <v>9</v>
      </c>
      <c r="G106" s="1" t="s">
        <v>170</v>
      </c>
    </row>
    <row r="107" spans="1:7" ht="15.75" customHeight="1" x14ac:dyDescent="0.25">
      <c r="A107" s="3">
        <v>45034</v>
      </c>
      <c r="B107" s="1" t="s">
        <v>7</v>
      </c>
      <c r="C107" s="1" t="s">
        <v>141</v>
      </c>
      <c r="D107" s="1">
        <v>12.29</v>
      </c>
      <c r="E107" s="1">
        <v>17</v>
      </c>
      <c r="F107" s="1">
        <v>8</v>
      </c>
      <c r="G107" s="1" t="s">
        <v>171</v>
      </c>
    </row>
    <row r="108" spans="1:7" ht="15.75" customHeight="1" x14ac:dyDescent="0.25">
      <c r="A108" s="3">
        <v>45035</v>
      </c>
      <c r="B108" s="1" t="s">
        <v>71</v>
      </c>
      <c r="C108" s="1" t="s">
        <v>72</v>
      </c>
      <c r="D108" s="1">
        <v>22</v>
      </c>
      <c r="E108" s="1">
        <v>27</v>
      </c>
      <c r="F108" s="1">
        <v>1</v>
      </c>
      <c r="G108" s="1" t="s">
        <v>172</v>
      </c>
    </row>
    <row r="109" spans="1:7" ht="15.75" customHeight="1" x14ac:dyDescent="0.25">
      <c r="A109" s="3">
        <v>45035</v>
      </c>
      <c r="B109" s="1" t="s">
        <v>21</v>
      </c>
      <c r="C109" s="1" t="s">
        <v>173</v>
      </c>
      <c r="D109" s="1">
        <v>13.5</v>
      </c>
      <c r="E109" s="1">
        <v>18</v>
      </c>
      <c r="F109" s="1">
        <v>2</v>
      </c>
      <c r="G109" s="1" t="s">
        <v>174</v>
      </c>
    </row>
    <row r="110" spans="1:7" ht="15.75" customHeight="1" x14ac:dyDescent="0.25">
      <c r="A110" s="3">
        <v>45035</v>
      </c>
      <c r="B110" s="1" t="s">
        <v>24</v>
      </c>
      <c r="C110" s="1" t="s">
        <v>145</v>
      </c>
      <c r="D110" s="1">
        <v>9.5</v>
      </c>
      <c r="E110" s="1">
        <v>14</v>
      </c>
      <c r="F110" s="1">
        <v>6</v>
      </c>
      <c r="G110" s="1" t="s">
        <v>175</v>
      </c>
    </row>
    <row r="111" spans="1:7" ht="15.75" customHeight="1" x14ac:dyDescent="0.25">
      <c r="A111" s="3">
        <v>45035</v>
      </c>
      <c r="B111" s="1" t="s">
        <v>24</v>
      </c>
      <c r="C111" s="1" t="s">
        <v>145</v>
      </c>
      <c r="D111" s="1">
        <v>9.5</v>
      </c>
      <c r="E111" s="1">
        <v>14</v>
      </c>
      <c r="F111" s="1">
        <v>9</v>
      </c>
      <c r="G111" s="1" t="s">
        <v>176</v>
      </c>
    </row>
    <row r="112" spans="1:7" ht="15.75" customHeight="1" x14ac:dyDescent="0.25">
      <c r="A112" s="3">
        <v>45035</v>
      </c>
      <c r="B112" s="1" t="s">
        <v>7</v>
      </c>
      <c r="C112" s="1" t="s">
        <v>133</v>
      </c>
      <c r="D112" s="1">
        <v>10.25</v>
      </c>
      <c r="E112" s="1">
        <v>15</v>
      </c>
      <c r="F112" s="1">
        <v>2</v>
      </c>
      <c r="G112" s="1" t="s">
        <v>177</v>
      </c>
    </row>
    <row r="113" spans="1:7" ht="15.75" customHeight="1" x14ac:dyDescent="0.25">
      <c r="A113" s="3">
        <v>45036</v>
      </c>
      <c r="B113" s="1" t="s">
        <v>30</v>
      </c>
      <c r="C113" s="1" t="s">
        <v>125</v>
      </c>
      <c r="D113" s="1">
        <v>12.33</v>
      </c>
      <c r="E113" s="1">
        <v>17</v>
      </c>
      <c r="F113" s="1">
        <v>4</v>
      </c>
      <c r="G113" s="1" t="s">
        <v>178</v>
      </c>
    </row>
    <row r="114" spans="1:7" ht="15.75" customHeight="1" x14ac:dyDescent="0.25">
      <c r="A114" s="3">
        <v>45036</v>
      </c>
      <c r="B114" s="1" t="s">
        <v>91</v>
      </c>
      <c r="C114" s="1" t="s">
        <v>179</v>
      </c>
      <c r="D114" s="1">
        <v>14.7</v>
      </c>
      <c r="E114" s="1">
        <v>19</v>
      </c>
      <c r="F114" s="1">
        <v>10</v>
      </c>
      <c r="G114" s="1" t="s">
        <v>180</v>
      </c>
    </row>
    <row r="115" spans="1:7" ht="15.75" customHeight="1" x14ac:dyDescent="0.25">
      <c r="A115" s="3">
        <v>45036</v>
      </c>
      <c r="B115" s="1" t="s">
        <v>81</v>
      </c>
      <c r="C115" s="1" t="s">
        <v>85</v>
      </c>
      <c r="D115" s="1">
        <v>2.4500000000000002</v>
      </c>
      <c r="E115" s="1">
        <v>4</v>
      </c>
      <c r="F115" s="1">
        <v>4</v>
      </c>
      <c r="G115" s="1" t="s">
        <v>181</v>
      </c>
    </row>
    <row r="116" spans="1:7" ht="15.75" customHeight="1" x14ac:dyDescent="0.25">
      <c r="A116" s="3">
        <v>45036</v>
      </c>
      <c r="B116" s="1" t="s">
        <v>7</v>
      </c>
      <c r="C116" s="1" t="s">
        <v>141</v>
      </c>
      <c r="D116" s="1">
        <v>12.29</v>
      </c>
      <c r="E116" s="1">
        <v>17</v>
      </c>
      <c r="F116" s="1">
        <v>1</v>
      </c>
      <c r="G116" s="1" t="s">
        <v>182</v>
      </c>
    </row>
    <row r="117" spans="1:7" ht="15.75" customHeight="1" x14ac:dyDescent="0.25">
      <c r="A117" s="3">
        <v>45037</v>
      </c>
      <c r="B117" s="1" t="s">
        <v>18</v>
      </c>
      <c r="C117" s="1" t="s">
        <v>19</v>
      </c>
      <c r="D117" s="1">
        <v>18.5</v>
      </c>
      <c r="E117" s="1">
        <v>23</v>
      </c>
      <c r="F117" s="1">
        <v>1</v>
      </c>
      <c r="G117" s="1" t="s">
        <v>183</v>
      </c>
    </row>
    <row r="118" spans="1:7" ht="15.75" customHeight="1" x14ac:dyDescent="0.25">
      <c r="A118" s="3">
        <v>45037</v>
      </c>
      <c r="B118" s="1" t="s">
        <v>14</v>
      </c>
      <c r="C118" s="1" t="s">
        <v>15</v>
      </c>
      <c r="D118" s="1">
        <v>10.25</v>
      </c>
      <c r="E118" s="1">
        <v>14</v>
      </c>
      <c r="F118" s="1">
        <v>1</v>
      </c>
      <c r="G118" s="1" t="s">
        <v>184</v>
      </c>
    </row>
    <row r="119" spans="1:7" ht="15.75" customHeight="1" x14ac:dyDescent="0.25">
      <c r="A119" s="3">
        <v>45038</v>
      </c>
      <c r="B119" s="1" t="s">
        <v>91</v>
      </c>
      <c r="C119" s="1" t="s">
        <v>185</v>
      </c>
      <c r="D119" s="1">
        <v>18</v>
      </c>
      <c r="E119" s="1">
        <v>25</v>
      </c>
      <c r="F119" s="1">
        <v>1</v>
      </c>
      <c r="G119" s="1" t="s">
        <v>186</v>
      </c>
    </row>
    <row r="120" spans="1:7" ht="15.75" customHeight="1" x14ac:dyDescent="0.25">
      <c r="A120" s="3">
        <v>45038</v>
      </c>
      <c r="B120" s="1" t="s">
        <v>7</v>
      </c>
      <c r="C120" s="1" t="s">
        <v>55</v>
      </c>
      <c r="D120" s="1">
        <v>12</v>
      </c>
      <c r="E120" s="1">
        <v>18</v>
      </c>
      <c r="F120" s="1">
        <v>8</v>
      </c>
      <c r="G120" s="1" t="s">
        <v>187</v>
      </c>
    </row>
    <row r="121" spans="1:7" ht="15.75" customHeight="1" x14ac:dyDescent="0.25">
      <c r="A121" s="3">
        <v>45039</v>
      </c>
      <c r="B121" s="1" t="s">
        <v>10</v>
      </c>
      <c r="C121" s="1" t="s">
        <v>137</v>
      </c>
      <c r="D121" s="1">
        <v>12.5</v>
      </c>
      <c r="E121" s="1">
        <v>17</v>
      </c>
      <c r="F121" s="1">
        <v>8</v>
      </c>
      <c r="G121" s="1" t="s">
        <v>188</v>
      </c>
    </row>
    <row r="122" spans="1:7" ht="15.75" customHeight="1" x14ac:dyDescent="0.25">
      <c r="A122" s="3">
        <v>45039</v>
      </c>
      <c r="B122" s="1" t="s">
        <v>10</v>
      </c>
      <c r="C122" s="1" t="s">
        <v>137</v>
      </c>
      <c r="D122" s="1">
        <v>12.5</v>
      </c>
      <c r="E122" s="1">
        <v>17</v>
      </c>
      <c r="F122" s="1">
        <v>3</v>
      </c>
      <c r="G122" s="1" t="s">
        <v>189</v>
      </c>
    </row>
    <row r="123" spans="1:7" ht="15.75" customHeight="1" x14ac:dyDescent="0.25">
      <c r="A123" s="3">
        <v>45039</v>
      </c>
      <c r="B123" s="1" t="s">
        <v>7</v>
      </c>
      <c r="C123" s="1" t="s">
        <v>52</v>
      </c>
      <c r="D123" s="1">
        <v>14.5</v>
      </c>
      <c r="E123" s="1">
        <v>19</v>
      </c>
      <c r="F123" s="1">
        <v>1</v>
      </c>
      <c r="G123" s="1" t="s">
        <v>190</v>
      </c>
    </row>
    <row r="124" spans="1:7" ht="15.75" customHeight="1" x14ac:dyDescent="0.25">
      <c r="A124" s="3">
        <v>45039</v>
      </c>
      <c r="B124" s="1" t="s">
        <v>7</v>
      </c>
      <c r="C124" s="1" t="s">
        <v>52</v>
      </c>
      <c r="D124" s="1">
        <v>14.5</v>
      </c>
      <c r="E124" s="1">
        <v>19</v>
      </c>
      <c r="F124" s="1">
        <v>1</v>
      </c>
      <c r="G124" s="1" t="s">
        <v>191</v>
      </c>
    </row>
    <row r="125" spans="1:7" ht="15.75" customHeight="1" x14ac:dyDescent="0.25">
      <c r="A125" s="3">
        <v>45041</v>
      </c>
      <c r="B125" s="1" t="s">
        <v>14</v>
      </c>
      <c r="C125" s="1" t="s">
        <v>192</v>
      </c>
      <c r="D125" s="1">
        <v>12.5</v>
      </c>
      <c r="E125" s="1">
        <v>18</v>
      </c>
      <c r="F125" s="1">
        <v>7</v>
      </c>
      <c r="G125" s="1" t="s">
        <v>193</v>
      </c>
    </row>
    <row r="126" spans="1:7" ht="15.75" customHeight="1" x14ac:dyDescent="0.25">
      <c r="A126" s="3">
        <v>45041</v>
      </c>
      <c r="B126" s="1" t="s">
        <v>10</v>
      </c>
      <c r="C126" s="1" t="s">
        <v>43</v>
      </c>
      <c r="D126" s="1">
        <v>43.5</v>
      </c>
      <c r="E126" s="1">
        <v>55</v>
      </c>
      <c r="F126" s="1">
        <v>3</v>
      </c>
      <c r="G126" s="1" t="s">
        <v>194</v>
      </c>
    </row>
    <row r="127" spans="1:7" ht="15.75" customHeight="1" x14ac:dyDescent="0.25">
      <c r="A127" s="3">
        <v>45041</v>
      </c>
      <c r="B127" s="1" t="s">
        <v>10</v>
      </c>
      <c r="C127" s="1" t="s">
        <v>43</v>
      </c>
      <c r="D127" s="1">
        <v>43.5</v>
      </c>
      <c r="E127" s="1">
        <v>55</v>
      </c>
      <c r="F127" s="1">
        <v>5</v>
      </c>
      <c r="G127" s="1" t="s">
        <v>195</v>
      </c>
    </row>
    <row r="128" spans="1:7" ht="15.75" customHeight="1" x14ac:dyDescent="0.25">
      <c r="A128" s="3">
        <v>45041</v>
      </c>
      <c r="B128" s="1" t="s">
        <v>81</v>
      </c>
      <c r="C128" s="1" t="s">
        <v>121</v>
      </c>
      <c r="D128" s="1">
        <v>3.15</v>
      </c>
      <c r="E128" s="1">
        <v>5</v>
      </c>
      <c r="F128" s="1">
        <v>3</v>
      </c>
      <c r="G128" s="1" t="s">
        <v>196</v>
      </c>
    </row>
    <row r="129" spans="1:7" ht="15.75" customHeight="1" x14ac:dyDescent="0.25">
      <c r="A129" s="3">
        <v>45041</v>
      </c>
      <c r="B129" s="1" t="s">
        <v>81</v>
      </c>
      <c r="C129" s="1" t="s">
        <v>121</v>
      </c>
      <c r="D129" s="1">
        <v>3.15</v>
      </c>
      <c r="E129" s="1">
        <v>5</v>
      </c>
      <c r="F129" s="1">
        <v>1</v>
      </c>
      <c r="G129" s="1" t="s">
        <v>197</v>
      </c>
    </row>
    <row r="130" spans="1:7" ht="15.75" customHeight="1" x14ac:dyDescent="0.25">
      <c r="A130" s="3">
        <v>45041</v>
      </c>
      <c r="B130" s="1" t="s">
        <v>7</v>
      </c>
      <c r="C130" s="1" t="s">
        <v>52</v>
      </c>
      <c r="D130" s="1">
        <v>14.5</v>
      </c>
      <c r="E130" s="1">
        <v>19</v>
      </c>
      <c r="F130" s="1">
        <v>7</v>
      </c>
      <c r="G130" s="1" t="s">
        <v>198</v>
      </c>
    </row>
    <row r="131" spans="1:7" ht="15.75" customHeight="1" x14ac:dyDescent="0.25">
      <c r="A131" s="3">
        <v>45042</v>
      </c>
      <c r="B131" s="1" t="s">
        <v>48</v>
      </c>
      <c r="C131" s="1" t="s">
        <v>199</v>
      </c>
      <c r="D131" s="1">
        <v>35.65</v>
      </c>
      <c r="E131" s="1">
        <v>40</v>
      </c>
      <c r="F131" s="1">
        <v>6</v>
      </c>
      <c r="G131" s="1" t="s">
        <v>200</v>
      </c>
    </row>
    <row r="132" spans="1:7" ht="15.75" customHeight="1" x14ac:dyDescent="0.25">
      <c r="A132" s="3">
        <v>45042</v>
      </c>
      <c r="B132" s="1" t="s">
        <v>18</v>
      </c>
      <c r="C132" s="1" t="s">
        <v>153</v>
      </c>
      <c r="D132" s="1">
        <v>12.5</v>
      </c>
      <c r="E132" s="1">
        <v>18</v>
      </c>
      <c r="F132" s="1">
        <v>5</v>
      </c>
      <c r="G132" s="1" t="s">
        <v>201</v>
      </c>
    </row>
    <row r="133" spans="1:7" ht="15.75" customHeight="1" x14ac:dyDescent="0.25">
      <c r="A133" s="3">
        <v>45042</v>
      </c>
      <c r="B133" s="1" t="s">
        <v>18</v>
      </c>
      <c r="C133" s="1" t="s">
        <v>19</v>
      </c>
      <c r="D133" s="1">
        <v>18.5</v>
      </c>
      <c r="E133" s="1">
        <v>23</v>
      </c>
      <c r="F133" s="1">
        <v>2</v>
      </c>
      <c r="G133" s="1" t="s">
        <v>202</v>
      </c>
    </row>
    <row r="134" spans="1:7" ht="15.75" customHeight="1" x14ac:dyDescent="0.25">
      <c r="A134" s="3">
        <v>45042</v>
      </c>
      <c r="B134" s="1" t="s">
        <v>81</v>
      </c>
      <c r="C134" s="1" t="s">
        <v>82</v>
      </c>
      <c r="D134" s="1">
        <v>1.25</v>
      </c>
      <c r="E134" s="1">
        <v>3</v>
      </c>
      <c r="F134" s="1">
        <v>10</v>
      </c>
      <c r="G134" s="1" t="s">
        <v>203</v>
      </c>
    </row>
    <row r="135" spans="1:7" ht="15.75" customHeight="1" x14ac:dyDescent="0.25">
      <c r="A135" s="3">
        <v>45042</v>
      </c>
      <c r="B135" s="1" t="s">
        <v>7</v>
      </c>
      <c r="C135" s="1" t="s">
        <v>60</v>
      </c>
      <c r="D135" s="1">
        <v>13.5</v>
      </c>
      <c r="E135" s="1">
        <v>18</v>
      </c>
      <c r="F135" s="1">
        <v>1</v>
      </c>
      <c r="G135" s="1" t="s">
        <v>204</v>
      </c>
    </row>
    <row r="136" spans="1:7" ht="15.75" customHeight="1" x14ac:dyDescent="0.25">
      <c r="A136" s="3">
        <v>45042</v>
      </c>
      <c r="B136" s="1" t="s">
        <v>7</v>
      </c>
      <c r="C136" s="1" t="s">
        <v>60</v>
      </c>
      <c r="D136" s="1">
        <v>13.5</v>
      </c>
      <c r="E136" s="1">
        <v>18</v>
      </c>
      <c r="F136" s="1">
        <v>2</v>
      </c>
      <c r="G136" s="1" t="s">
        <v>205</v>
      </c>
    </row>
    <row r="137" spans="1:7" ht="15.75" customHeight="1" x14ac:dyDescent="0.25">
      <c r="A137" s="3">
        <v>45042</v>
      </c>
      <c r="B137" s="1" t="s">
        <v>7</v>
      </c>
      <c r="C137" s="1" t="s">
        <v>60</v>
      </c>
      <c r="D137" s="1">
        <v>13.5</v>
      </c>
      <c r="E137" s="1">
        <v>18</v>
      </c>
      <c r="F137" s="1">
        <v>1</v>
      </c>
      <c r="G137" s="1" t="s">
        <v>206</v>
      </c>
    </row>
    <row r="138" spans="1:7" ht="15.75" customHeight="1" x14ac:dyDescent="0.25">
      <c r="A138" s="3">
        <v>45043</v>
      </c>
      <c r="B138" s="1" t="s">
        <v>91</v>
      </c>
      <c r="C138" s="1" t="s">
        <v>207</v>
      </c>
      <c r="D138" s="1">
        <v>22.25</v>
      </c>
      <c r="E138" s="1">
        <v>30</v>
      </c>
      <c r="F138" s="1">
        <v>9</v>
      </c>
      <c r="G138" s="1" t="s">
        <v>208</v>
      </c>
    </row>
    <row r="139" spans="1:7" ht="15.75" customHeight="1" x14ac:dyDescent="0.25">
      <c r="A139" s="3">
        <v>45043</v>
      </c>
      <c r="B139" s="1" t="s">
        <v>7</v>
      </c>
      <c r="C139" s="1" t="s">
        <v>141</v>
      </c>
      <c r="D139" s="1">
        <v>12.29</v>
      </c>
      <c r="E139" s="1">
        <v>17</v>
      </c>
      <c r="F139" s="1">
        <v>4</v>
      </c>
      <c r="G139" s="1" t="s">
        <v>209</v>
      </c>
    </row>
    <row r="140" spans="1:7" ht="15.75" customHeight="1" x14ac:dyDescent="0.25">
      <c r="A140" s="3">
        <v>45044</v>
      </c>
      <c r="B140" s="1" t="s">
        <v>74</v>
      </c>
      <c r="C140" s="1" t="s">
        <v>75</v>
      </c>
      <c r="D140" s="1">
        <v>45.24</v>
      </c>
      <c r="E140" s="1">
        <v>65</v>
      </c>
      <c r="F140" s="1">
        <v>3</v>
      </c>
      <c r="G140" s="1" t="s">
        <v>210</v>
      </c>
    </row>
    <row r="141" spans="1:7" ht="15.75" customHeight="1" x14ac:dyDescent="0.25">
      <c r="A141" s="3">
        <v>45044</v>
      </c>
      <c r="B141" s="1" t="s">
        <v>7</v>
      </c>
      <c r="C141" s="1" t="s">
        <v>60</v>
      </c>
      <c r="D141" s="1">
        <v>13.5</v>
      </c>
      <c r="E141" s="1">
        <v>18</v>
      </c>
      <c r="F141" s="1">
        <v>8</v>
      </c>
      <c r="G141" s="1" t="s">
        <v>211</v>
      </c>
    </row>
    <row r="142" spans="1:7" ht="15.75" customHeight="1" x14ac:dyDescent="0.25">
      <c r="A142" s="3">
        <v>45045</v>
      </c>
      <c r="B142" s="1" t="s">
        <v>71</v>
      </c>
      <c r="C142" s="1" t="s">
        <v>72</v>
      </c>
      <c r="D142" s="1">
        <v>22</v>
      </c>
      <c r="E142" s="1">
        <v>27</v>
      </c>
      <c r="F142" s="1">
        <v>5</v>
      </c>
      <c r="G142" s="1" t="s">
        <v>212</v>
      </c>
    </row>
    <row r="143" spans="1:7" ht="15.75" customHeight="1" x14ac:dyDescent="0.25">
      <c r="A143" s="3">
        <v>45045</v>
      </c>
      <c r="B143" s="1" t="s">
        <v>81</v>
      </c>
      <c r="C143" s="1" t="s">
        <v>85</v>
      </c>
      <c r="D143" s="1">
        <v>2.4500000000000002</v>
      </c>
      <c r="E143" s="1">
        <v>4</v>
      </c>
      <c r="F143" s="1">
        <v>4</v>
      </c>
      <c r="G143" s="1" t="s">
        <v>213</v>
      </c>
    </row>
    <row r="144" spans="1:7" ht="15.75" customHeight="1" x14ac:dyDescent="0.25">
      <c r="A144" s="3">
        <v>45046</v>
      </c>
      <c r="B144" s="1" t="s">
        <v>21</v>
      </c>
      <c r="C144" s="1" t="s">
        <v>112</v>
      </c>
      <c r="D144" s="1">
        <v>12.5</v>
      </c>
      <c r="E144" s="1">
        <v>16</v>
      </c>
      <c r="F144" s="1">
        <v>2</v>
      </c>
      <c r="G144" s="1" t="s">
        <v>214</v>
      </c>
    </row>
    <row r="145" spans="1:7" ht="15.75" customHeight="1" x14ac:dyDescent="0.25">
      <c r="A145" s="3">
        <v>45046</v>
      </c>
      <c r="B145" s="1" t="s">
        <v>24</v>
      </c>
      <c r="C145" s="1" t="s">
        <v>145</v>
      </c>
      <c r="D145" s="1">
        <v>9.5</v>
      </c>
      <c r="E145" s="1">
        <v>14</v>
      </c>
      <c r="F145" s="1">
        <v>4</v>
      </c>
      <c r="G145" s="1" t="s">
        <v>215</v>
      </c>
    </row>
    <row r="146" spans="1:7" ht="15.75" customHeight="1" x14ac:dyDescent="0.25">
      <c r="A146" s="3">
        <v>45046</v>
      </c>
      <c r="B146" s="1" t="s">
        <v>24</v>
      </c>
      <c r="C146" s="1" t="s">
        <v>145</v>
      </c>
      <c r="D146" s="1">
        <v>9.5</v>
      </c>
      <c r="E146" s="1">
        <v>14</v>
      </c>
      <c r="F146" s="1">
        <v>2</v>
      </c>
      <c r="G146" s="1" t="s">
        <v>216</v>
      </c>
    </row>
    <row r="147" spans="1:7" ht="15.75" customHeight="1" x14ac:dyDescent="0.25">
      <c r="A147" s="3">
        <v>45046</v>
      </c>
      <c r="B147" s="1" t="s">
        <v>7</v>
      </c>
      <c r="C147" s="1" t="s">
        <v>52</v>
      </c>
      <c r="D147" s="1">
        <v>14.5</v>
      </c>
      <c r="E147" s="1">
        <v>19</v>
      </c>
      <c r="F147" s="1">
        <v>6</v>
      </c>
      <c r="G147" s="1" t="s">
        <v>217</v>
      </c>
    </row>
    <row r="148" spans="1:7" ht="15.75" customHeight="1" x14ac:dyDescent="0.25">
      <c r="A148" s="3">
        <v>45047</v>
      </c>
      <c r="B148" s="1" t="s">
        <v>10</v>
      </c>
      <c r="C148" s="1" t="s">
        <v>37</v>
      </c>
      <c r="D148" s="1">
        <v>13.83</v>
      </c>
      <c r="E148" s="1">
        <v>18</v>
      </c>
      <c r="F148" s="1">
        <v>8</v>
      </c>
      <c r="G148" s="1" t="s">
        <v>218</v>
      </c>
    </row>
    <row r="149" spans="1:7" ht="15.75" customHeight="1" x14ac:dyDescent="0.25">
      <c r="A149" s="3">
        <v>45048</v>
      </c>
      <c r="B149" s="1" t="s">
        <v>18</v>
      </c>
      <c r="C149" s="1" t="s">
        <v>33</v>
      </c>
      <c r="D149" s="1">
        <v>16.170000000000002</v>
      </c>
      <c r="E149" s="1">
        <v>20</v>
      </c>
      <c r="F149" s="1">
        <v>2</v>
      </c>
      <c r="G149" s="1" t="s">
        <v>219</v>
      </c>
    </row>
    <row r="150" spans="1:7" ht="15.75" customHeight="1" x14ac:dyDescent="0.25">
      <c r="A150" s="3">
        <v>45049</v>
      </c>
      <c r="B150" s="1" t="s">
        <v>18</v>
      </c>
      <c r="C150" s="1" t="s">
        <v>33</v>
      </c>
      <c r="D150" s="1">
        <v>16.170000000000002</v>
      </c>
      <c r="E150" s="1">
        <v>20</v>
      </c>
      <c r="F150" s="1">
        <v>3</v>
      </c>
      <c r="G150" s="1" t="s">
        <v>220</v>
      </c>
    </row>
    <row r="151" spans="1:7" ht="15.75" customHeight="1" x14ac:dyDescent="0.25">
      <c r="A151" s="3">
        <v>45050</v>
      </c>
      <c r="B151" s="1" t="s">
        <v>14</v>
      </c>
      <c r="C151" s="1" t="s">
        <v>15</v>
      </c>
      <c r="D151" s="1">
        <v>10.25</v>
      </c>
      <c r="E151" s="1">
        <v>14</v>
      </c>
      <c r="F151" s="1">
        <v>4</v>
      </c>
      <c r="G151" s="1" t="s">
        <v>221</v>
      </c>
    </row>
    <row r="152" spans="1:7" ht="15.75" customHeight="1" x14ac:dyDescent="0.25">
      <c r="A152" s="3">
        <v>45051</v>
      </c>
      <c r="B152" s="1" t="s">
        <v>30</v>
      </c>
      <c r="C152" s="1" t="s">
        <v>31</v>
      </c>
      <c r="D152" s="1">
        <v>20.329999999999998</v>
      </c>
      <c r="E152" s="1">
        <v>25</v>
      </c>
      <c r="F152" s="1">
        <v>6</v>
      </c>
      <c r="G152" s="1" t="s">
        <v>222</v>
      </c>
    </row>
    <row r="153" spans="1:7" ht="15.75" customHeight="1" x14ac:dyDescent="0.25">
      <c r="A153" s="3">
        <v>45051</v>
      </c>
      <c r="B153" s="1" t="s">
        <v>48</v>
      </c>
      <c r="C153" s="1" t="s">
        <v>150</v>
      </c>
      <c r="D153" s="1">
        <v>39</v>
      </c>
      <c r="E153" s="1">
        <v>45</v>
      </c>
      <c r="F153" s="1">
        <v>10</v>
      </c>
      <c r="G153" s="1" t="s">
        <v>223</v>
      </c>
    </row>
    <row r="154" spans="1:7" ht="15.75" customHeight="1" x14ac:dyDescent="0.25">
      <c r="A154" s="3">
        <v>45051</v>
      </c>
      <c r="B154" s="1" t="s">
        <v>21</v>
      </c>
      <c r="C154" s="1" t="s">
        <v>112</v>
      </c>
      <c r="D154" s="1">
        <v>12.5</v>
      </c>
      <c r="E154" s="1">
        <v>16</v>
      </c>
      <c r="F154" s="1">
        <v>4</v>
      </c>
      <c r="G154" s="1" t="s">
        <v>224</v>
      </c>
    </row>
    <row r="155" spans="1:7" ht="15.75" customHeight="1" x14ac:dyDescent="0.25">
      <c r="A155" s="3">
        <v>45052</v>
      </c>
      <c r="B155" s="1" t="s">
        <v>91</v>
      </c>
      <c r="C155" s="1" t="s">
        <v>185</v>
      </c>
      <c r="D155" s="1">
        <v>18</v>
      </c>
      <c r="E155" s="1">
        <v>25</v>
      </c>
      <c r="F155" s="1">
        <v>6</v>
      </c>
      <c r="G155" s="1" t="s">
        <v>225</v>
      </c>
    </row>
    <row r="156" spans="1:7" ht="15.75" customHeight="1" x14ac:dyDescent="0.25">
      <c r="A156" s="3">
        <v>45053</v>
      </c>
      <c r="B156" s="1" t="s">
        <v>30</v>
      </c>
      <c r="C156" s="1" t="s">
        <v>119</v>
      </c>
      <c r="D156" s="1">
        <v>14</v>
      </c>
      <c r="E156" s="1">
        <v>19</v>
      </c>
      <c r="F156" s="1">
        <v>3</v>
      </c>
      <c r="G156" s="1" t="s">
        <v>226</v>
      </c>
    </row>
    <row r="157" spans="1:7" ht="15.75" customHeight="1" x14ac:dyDescent="0.25">
      <c r="A157" s="3">
        <v>45053</v>
      </c>
      <c r="B157" s="1" t="s">
        <v>18</v>
      </c>
      <c r="C157" s="1" t="s">
        <v>33</v>
      </c>
      <c r="D157" s="1">
        <v>16.170000000000002</v>
      </c>
      <c r="E157" s="1">
        <v>20</v>
      </c>
      <c r="F157" s="1">
        <v>2</v>
      </c>
      <c r="G157" s="1" t="s">
        <v>227</v>
      </c>
    </row>
    <row r="158" spans="1:7" ht="15.75" customHeight="1" x14ac:dyDescent="0.25">
      <c r="A158" s="3">
        <v>45053</v>
      </c>
      <c r="B158" s="1" t="s">
        <v>24</v>
      </c>
      <c r="C158" s="1" t="s">
        <v>116</v>
      </c>
      <c r="D158" s="1">
        <v>7.5</v>
      </c>
      <c r="E158" s="1">
        <v>12</v>
      </c>
      <c r="F158" s="1">
        <v>1</v>
      </c>
      <c r="G158" s="1" t="s">
        <v>228</v>
      </c>
    </row>
    <row r="159" spans="1:7" ht="15.75" customHeight="1" x14ac:dyDescent="0.25">
      <c r="A159" s="3">
        <v>45054</v>
      </c>
      <c r="B159" s="1" t="s">
        <v>48</v>
      </c>
      <c r="C159" s="1" t="s">
        <v>49</v>
      </c>
      <c r="D159" s="1">
        <v>38.72</v>
      </c>
      <c r="E159" s="1">
        <v>43</v>
      </c>
      <c r="F159" s="1">
        <v>6</v>
      </c>
      <c r="G159" s="1" t="s">
        <v>229</v>
      </c>
    </row>
    <row r="160" spans="1:7" ht="15.75" customHeight="1" x14ac:dyDescent="0.25">
      <c r="A160" s="3">
        <v>45054</v>
      </c>
      <c r="B160" s="1" t="s">
        <v>48</v>
      </c>
      <c r="C160" s="1" t="s">
        <v>49</v>
      </c>
      <c r="D160" s="1">
        <v>38.72</v>
      </c>
      <c r="E160" s="1">
        <v>43</v>
      </c>
      <c r="F160" s="1">
        <v>1</v>
      </c>
      <c r="G160" s="1" t="s">
        <v>230</v>
      </c>
    </row>
    <row r="161" spans="1:7" ht="15.75" customHeight="1" x14ac:dyDescent="0.25">
      <c r="A161" s="3">
        <v>45054</v>
      </c>
      <c r="B161" s="1" t="s">
        <v>74</v>
      </c>
      <c r="C161" s="1" t="s">
        <v>75</v>
      </c>
      <c r="D161" s="1">
        <v>45.24</v>
      </c>
      <c r="E161" s="1">
        <v>65</v>
      </c>
      <c r="F161" s="1">
        <v>7</v>
      </c>
      <c r="G161" s="1" t="s">
        <v>231</v>
      </c>
    </row>
    <row r="162" spans="1:7" ht="15.75" customHeight="1" x14ac:dyDescent="0.25">
      <c r="A162" s="3">
        <v>45055</v>
      </c>
      <c r="B162" s="1" t="s">
        <v>18</v>
      </c>
      <c r="C162" s="1" t="s">
        <v>19</v>
      </c>
      <c r="D162" s="1">
        <v>18.5</v>
      </c>
      <c r="E162" s="1">
        <v>23</v>
      </c>
      <c r="F162" s="1">
        <v>9</v>
      </c>
      <c r="G162" s="1" t="s">
        <v>232</v>
      </c>
    </row>
    <row r="163" spans="1:7" ht="15.75" customHeight="1" x14ac:dyDescent="0.25">
      <c r="A163" s="3">
        <v>45056</v>
      </c>
      <c r="B163" s="1" t="s">
        <v>14</v>
      </c>
      <c r="C163" s="1" t="s">
        <v>233</v>
      </c>
      <c r="D163" s="1">
        <v>10.75</v>
      </c>
      <c r="E163" s="1">
        <v>14</v>
      </c>
      <c r="F163" s="1">
        <v>9</v>
      </c>
      <c r="G163" s="1" t="s">
        <v>234</v>
      </c>
    </row>
    <row r="164" spans="1:7" ht="15.75" customHeight="1" x14ac:dyDescent="0.25">
      <c r="A164" s="3">
        <v>45056</v>
      </c>
      <c r="B164" s="1" t="s">
        <v>74</v>
      </c>
      <c r="C164" s="1" t="s">
        <v>123</v>
      </c>
      <c r="D164" s="1">
        <v>23.5</v>
      </c>
      <c r="E164" s="1">
        <v>28</v>
      </c>
      <c r="F164" s="1">
        <v>3</v>
      </c>
      <c r="G164" s="1" t="s">
        <v>235</v>
      </c>
    </row>
    <row r="165" spans="1:7" ht="15.75" customHeight="1" x14ac:dyDescent="0.25">
      <c r="A165" s="3">
        <v>45056</v>
      </c>
      <c r="B165" s="1" t="s">
        <v>10</v>
      </c>
      <c r="C165" s="1" t="s">
        <v>137</v>
      </c>
      <c r="D165" s="1">
        <v>12.5</v>
      </c>
      <c r="E165" s="1">
        <v>17</v>
      </c>
      <c r="F165" s="1">
        <v>7</v>
      </c>
      <c r="G165" s="1" t="s">
        <v>236</v>
      </c>
    </row>
    <row r="166" spans="1:7" ht="15.75" customHeight="1" x14ac:dyDescent="0.25">
      <c r="A166" s="3">
        <v>45056</v>
      </c>
      <c r="B166" s="1" t="s">
        <v>7</v>
      </c>
      <c r="C166" s="1" t="s">
        <v>55</v>
      </c>
      <c r="D166" s="1">
        <v>12</v>
      </c>
      <c r="E166" s="1">
        <v>18</v>
      </c>
      <c r="F166" s="1">
        <v>9</v>
      </c>
      <c r="G166" s="1" t="s">
        <v>237</v>
      </c>
    </row>
    <row r="167" spans="1:7" ht="15.75" customHeight="1" x14ac:dyDescent="0.25">
      <c r="A167" s="3">
        <v>45058</v>
      </c>
      <c r="B167" s="1" t="s">
        <v>74</v>
      </c>
      <c r="C167" s="1" t="s">
        <v>123</v>
      </c>
      <c r="D167" s="1">
        <v>23.5</v>
      </c>
      <c r="E167" s="1">
        <v>28</v>
      </c>
      <c r="F167" s="1">
        <v>6</v>
      </c>
      <c r="G167" s="1" t="s">
        <v>238</v>
      </c>
    </row>
    <row r="168" spans="1:7" ht="15.75" customHeight="1" x14ac:dyDescent="0.25">
      <c r="A168" s="3">
        <v>45058</v>
      </c>
      <c r="B168" s="1" t="s">
        <v>21</v>
      </c>
      <c r="C168" s="1" t="s">
        <v>173</v>
      </c>
      <c r="D168" s="1">
        <v>13.5</v>
      </c>
      <c r="E168" s="1">
        <v>18</v>
      </c>
      <c r="F168" s="1">
        <v>10</v>
      </c>
      <c r="G168" s="1" t="s">
        <v>239</v>
      </c>
    </row>
    <row r="169" spans="1:7" ht="15.75" customHeight="1" x14ac:dyDescent="0.25">
      <c r="A169" s="3">
        <v>45059</v>
      </c>
      <c r="B169" s="1" t="s">
        <v>7</v>
      </c>
      <c r="C169" s="1" t="s">
        <v>131</v>
      </c>
      <c r="D169" s="1">
        <v>8.75</v>
      </c>
      <c r="E169" s="1">
        <v>14</v>
      </c>
      <c r="F169" s="1">
        <v>5</v>
      </c>
      <c r="G169" s="1" t="s">
        <v>240</v>
      </c>
    </row>
    <row r="170" spans="1:7" ht="15.75" customHeight="1" x14ac:dyDescent="0.25">
      <c r="A170" s="3">
        <v>45059</v>
      </c>
      <c r="B170" s="1" t="s">
        <v>7</v>
      </c>
      <c r="C170" s="1" t="s">
        <v>141</v>
      </c>
      <c r="D170" s="1">
        <v>12.29</v>
      </c>
      <c r="E170" s="1">
        <v>17</v>
      </c>
      <c r="F170" s="1">
        <v>7</v>
      </c>
      <c r="G170" s="1" t="s">
        <v>241</v>
      </c>
    </row>
    <row r="171" spans="1:7" ht="15.75" customHeight="1" x14ac:dyDescent="0.25">
      <c r="A171" s="3">
        <v>45060</v>
      </c>
      <c r="B171" s="1" t="s">
        <v>30</v>
      </c>
      <c r="C171" s="1" t="s">
        <v>105</v>
      </c>
      <c r="D171" s="1">
        <v>19.829999999999998</v>
      </c>
      <c r="E171" s="1">
        <v>24</v>
      </c>
      <c r="F171" s="1">
        <v>10</v>
      </c>
      <c r="G171" s="1" t="s">
        <v>242</v>
      </c>
    </row>
    <row r="172" spans="1:7" ht="15.75" customHeight="1" x14ac:dyDescent="0.25">
      <c r="A172" s="3">
        <v>45060</v>
      </c>
      <c r="B172" s="1" t="s">
        <v>18</v>
      </c>
      <c r="C172" s="1" t="s">
        <v>33</v>
      </c>
      <c r="D172" s="1">
        <v>16.170000000000002</v>
      </c>
      <c r="E172" s="1">
        <v>20</v>
      </c>
      <c r="F172" s="1">
        <v>8</v>
      </c>
      <c r="G172" s="1" t="s">
        <v>243</v>
      </c>
    </row>
    <row r="173" spans="1:7" ht="15.75" customHeight="1" x14ac:dyDescent="0.25">
      <c r="A173" s="3">
        <v>45060</v>
      </c>
      <c r="B173" s="1" t="s">
        <v>91</v>
      </c>
      <c r="C173" s="1" t="s">
        <v>207</v>
      </c>
      <c r="D173" s="1">
        <v>22.25</v>
      </c>
      <c r="E173" s="1">
        <v>30</v>
      </c>
      <c r="F173" s="1">
        <v>7</v>
      </c>
      <c r="G173" s="1" t="s">
        <v>244</v>
      </c>
    </row>
    <row r="174" spans="1:7" ht="15.75" customHeight="1" x14ac:dyDescent="0.25">
      <c r="A174" s="3">
        <v>45061</v>
      </c>
      <c r="B174" s="1" t="s">
        <v>10</v>
      </c>
      <c r="C174" s="1" t="s">
        <v>43</v>
      </c>
      <c r="D174" s="1">
        <v>43.5</v>
      </c>
      <c r="E174" s="1">
        <v>55</v>
      </c>
      <c r="F174" s="1">
        <v>5</v>
      </c>
      <c r="G174" s="1" t="s">
        <v>245</v>
      </c>
    </row>
    <row r="175" spans="1:7" ht="15.75" customHeight="1" x14ac:dyDescent="0.25">
      <c r="A175" s="3">
        <v>45061</v>
      </c>
      <c r="B175" s="1" t="s">
        <v>7</v>
      </c>
      <c r="C175" s="1" t="s">
        <v>133</v>
      </c>
      <c r="D175" s="1">
        <v>10.25</v>
      </c>
      <c r="E175" s="1">
        <v>15</v>
      </c>
      <c r="F175" s="1">
        <v>5</v>
      </c>
      <c r="G175" s="1" t="s">
        <v>246</v>
      </c>
    </row>
    <row r="176" spans="1:7" ht="15.75" customHeight="1" x14ac:dyDescent="0.25">
      <c r="A176" s="3">
        <v>45061</v>
      </c>
      <c r="B176" s="1" t="s">
        <v>7</v>
      </c>
      <c r="C176" s="1" t="s">
        <v>133</v>
      </c>
      <c r="D176" s="1">
        <v>10.25</v>
      </c>
      <c r="E176" s="1">
        <v>15</v>
      </c>
      <c r="F176" s="1">
        <v>3</v>
      </c>
      <c r="G176" s="1" t="s">
        <v>247</v>
      </c>
    </row>
    <row r="177" spans="1:7" ht="15.75" customHeight="1" x14ac:dyDescent="0.25">
      <c r="A177" s="3">
        <v>45061</v>
      </c>
      <c r="B177" s="1" t="s">
        <v>7</v>
      </c>
      <c r="C177" s="1" t="s">
        <v>133</v>
      </c>
      <c r="D177" s="1">
        <v>10.25</v>
      </c>
      <c r="E177" s="1">
        <v>15</v>
      </c>
      <c r="F177" s="1">
        <v>3</v>
      </c>
      <c r="G177" s="1" t="s">
        <v>248</v>
      </c>
    </row>
    <row r="178" spans="1:7" ht="15.75" customHeight="1" x14ac:dyDescent="0.25">
      <c r="A178" s="3">
        <v>45062</v>
      </c>
      <c r="B178" s="1" t="s">
        <v>7</v>
      </c>
      <c r="C178" s="1" t="s">
        <v>133</v>
      </c>
      <c r="D178" s="1">
        <v>10.25</v>
      </c>
      <c r="E178" s="1">
        <v>15</v>
      </c>
      <c r="F178" s="1">
        <v>8</v>
      </c>
      <c r="G178" s="1" t="s">
        <v>249</v>
      </c>
    </row>
    <row r="179" spans="1:7" ht="15.75" customHeight="1" x14ac:dyDescent="0.25">
      <c r="A179" s="3">
        <v>45063</v>
      </c>
      <c r="B179" s="1" t="s">
        <v>71</v>
      </c>
      <c r="C179" s="1" t="s">
        <v>72</v>
      </c>
      <c r="D179" s="1">
        <v>22</v>
      </c>
      <c r="E179" s="1">
        <v>27</v>
      </c>
      <c r="F179" s="1">
        <v>3</v>
      </c>
      <c r="G179" s="1" t="s">
        <v>250</v>
      </c>
    </row>
    <row r="180" spans="1:7" ht="15.75" customHeight="1" x14ac:dyDescent="0.25">
      <c r="A180" s="3">
        <v>45063</v>
      </c>
      <c r="B180" s="1" t="s">
        <v>24</v>
      </c>
      <c r="C180" s="1" t="s">
        <v>25</v>
      </c>
      <c r="D180" s="1">
        <v>8.17</v>
      </c>
      <c r="E180" s="1">
        <v>13</v>
      </c>
      <c r="F180" s="1">
        <v>4</v>
      </c>
      <c r="G180" s="1" t="s">
        <v>251</v>
      </c>
    </row>
    <row r="181" spans="1:7" ht="15.75" customHeight="1" x14ac:dyDescent="0.25">
      <c r="A181" s="3">
        <v>45063</v>
      </c>
      <c r="B181" s="1" t="s">
        <v>24</v>
      </c>
      <c r="C181" s="1" t="s">
        <v>25</v>
      </c>
      <c r="D181" s="1">
        <v>8.17</v>
      </c>
      <c r="E181" s="1">
        <v>13</v>
      </c>
      <c r="F181" s="1">
        <v>3</v>
      </c>
      <c r="G181" s="1" t="s">
        <v>252</v>
      </c>
    </row>
    <row r="182" spans="1:7" ht="15.75" customHeight="1" x14ac:dyDescent="0.25">
      <c r="A182" s="3">
        <v>45063</v>
      </c>
      <c r="B182" s="1" t="s">
        <v>24</v>
      </c>
      <c r="C182" s="1" t="s">
        <v>253</v>
      </c>
      <c r="D182" s="1">
        <v>8.17</v>
      </c>
      <c r="E182" s="1">
        <v>13</v>
      </c>
      <c r="F182" s="1">
        <v>2</v>
      </c>
      <c r="G182" s="1" t="s">
        <v>254</v>
      </c>
    </row>
    <row r="183" spans="1:7" ht="15.75" customHeight="1" x14ac:dyDescent="0.25">
      <c r="A183" s="3">
        <v>45063</v>
      </c>
      <c r="B183" s="1" t="s">
        <v>7</v>
      </c>
      <c r="C183" s="1" t="s">
        <v>133</v>
      </c>
      <c r="D183" s="1">
        <v>10.25</v>
      </c>
      <c r="E183" s="1">
        <v>15</v>
      </c>
      <c r="F183" s="1">
        <v>6</v>
      </c>
      <c r="G183" s="1" t="s">
        <v>255</v>
      </c>
    </row>
    <row r="184" spans="1:7" ht="15.75" customHeight="1" x14ac:dyDescent="0.25">
      <c r="A184" s="3">
        <v>45064</v>
      </c>
      <c r="B184" s="1" t="s">
        <v>48</v>
      </c>
      <c r="C184" s="1" t="s">
        <v>199</v>
      </c>
      <c r="D184" s="1">
        <v>35.65</v>
      </c>
      <c r="E184" s="1">
        <v>40</v>
      </c>
      <c r="F184" s="1">
        <v>9</v>
      </c>
      <c r="G184" s="1" t="s">
        <v>256</v>
      </c>
    </row>
    <row r="185" spans="1:7" ht="15.75" customHeight="1" x14ac:dyDescent="0.25">
      <c r="A185" s="3">
        <v>45064</v>
      </c>
      <c r="B185" s="1" t="s">
        <v>21</v>
      </c>
      <c r="C185" s="1" t="s">
        <v>28</v>
      </c>
      <c r="D185" s="1">
        <v>21.17</v>
      </c>
      <c r="E185" s="1">
        <v>25</v>
      </c>
      <c r="F185" s="1">
        <v>5</v>
      </c>
      <c r="G185" s="1" t="s">
        <v>257</v>
      </c>
    </row>
    <row r="186" spans="1:7" ht="15.75" customHeight="1" x14ac:dyDescent="0.25">
      <c r="A186" s="3">
        <v>45065</v>
      </c>
      <c r="B186" s="1" t="s">
        <v>30</v>
      </c>
      <c r="C186" s="1" t="s">
        <v>125</v>
      </c>
      <c r="D186" s="1">
        <v>12.33</v>
      </c>
      <c r="E186" s="1">
        <v>17</v>
      </c>
      <c r="F186" s="1">
        <v>2</v>
      </c>
      <c r="G186" s="1" t="s">
        <v>258</v>
      </c>
    </row>
    <row r="187" spans="1:7" ht="15.75" customHeight="1" x14ac:dyDescent="0.25">
      <c r="A187" s="3">
        <v>45065</v>
      </c>
      <c r="B187" s="1" t="s">
        <v>91</v>
      </c>
      <c r="C187" s="1" t="s">
        <v>92</v>
      </c>
      <c r="D187" s="1">
        <v>15.5</v>
      </c>
      <c r="E187" s="1">
        <v>20</v>
      </c>
      <c r="F187" s="1">
        <v>2</v>
      </c>
      <c r="G187" s="1" t="s">
        <v>259</v>
      </c>
    </row>
    <row r="188" spans="1:7" ht="15.75" customHeight="1" x14ac:dyDescent="0.25">
      <c r="A188" s="3">
        <v>45065</v>
      </c>
      <c r="B188" s="1" t="s">
        <v>81</v>
      </c>
      <c r="C188" s="1" t="s">
        <v>121</v>
      </c>
      <c r="D188" s="1">
        <v>3.15</v>
      </c>
      <c r="E188" s="1">
        <v>5</v>
      </c>
      <c r="F188" s="1">
        <v>10</v>
      </c>
      <c r="G188" s="1" t="s">
        <v>260</v>
      </c>
    </row>
    <row r="189" spans="1:7" ht="15.75" customHeight="1" x14ac:dyDescent="0.25">
      <c r="A189" s="3">
        <v>45065</v>
      </c>
      <c r="B189" s="1" t="s">
        <v>81</v>
      </c>
      <c r="C189" s="1" t="s">
        <v>121</v>
      </c>
      <c r="D189" s="1">
        <v>3.15</v>
      </c>
      <c r="E189" s="1">
        <v>5</v>
      </c>
      <c r="F189" s="1">
        <v>4</v>
      </c>
      <c r="G189" s="1" t="s">
        <v>261</v>
      </c>
    </row>
    <row r="190" spans="1:7" ht="15.75" customHeight="1" x14ac:dyDescent="0.25">
      <c r="A190" s="3">
        <v>45065</v>
      </c>
      <c r="B190" s="1" t="s">
        <v>7</v>
      </c>
      <c r="C190" s="1" t="s">
        <v>133</v>
      </c>
      <c r="D190" s="1">
        <v>10.25</v>
      </c>
      <c r="E190" s="1">
        <v>15</v>
      </c>
      <c r="F190" s="1">
        <v>6</v>
      </c>
      <c r="G190" s="1" t="s">
        <v>262</v>
      </c>
    </row>
    <row r="191" spans="1:7" ht="15.75" customHeight="1" x14ac:dyDescent="0.25">
      <c r="A191" s="3">
        <v>45066</v>
      </c>
      <c r="B191" s="1" t="s">
        <v>24</v>
      </c>
      <c r="C191" s="1" t="s">
        <v>116</v>
      </c>
      <c r="D191" s="1">
        <v>7.5</v>
      </c>
      <c r="E191" s="1">
        <v>12</v>
      </c>
      <c r="F191" s="1">
        <v>3</v>
      </c>
      <c r="G191" s="1" t="s">
        <v>263</v>
      </c>
    </row>
    <row r="192" spans="1:7" ht="15.75" customHeight="1" x14ac:dyDescent="0.25">
      <c r="A192" s="3">
        <v>45067</v>
      </c>
      <c r="B192" s="1" t="s">
        <v>71</v>
      </c>
      <c r="C192" s="1" t="s">
        <v>161</v>
      </c>
      <c r="D192" s="1">
        <v>48.67</v>
      </c>
      <c r="E192" s="1">
        <v>58</v>
      </c>
      <c r="F192" s="1">
        <v>7</v>
      </c>
      <c r="G192" s="1" t="s">
        <v>264</v>
      </c>
    </row>
    <row r="193" spans="1:7" ht="15.75" customHeight="1" x14ac:dyDescent="0.25">
      <c r="A193" s="3">
        <v>45067</v>
      </c>
      <c r="B193" s="1" t="s">
        <v>7</v>
      </c>
      <c r="C193" s="1" t="s">
        <v>141</v>
      </c>
      <c r="D193" s="1">
        <v>12.29</v>
      </c>
      <c r="E193" s="1">
        <v>17</v>
      </c>
      <c r="F193" s="1">
        <v>6</v>
      </c>
      <c r="G193" s="1" t="s">
        <v>265</v>
      </c>
    </row>
    <row r="194" spans="1:7" ht="15.75" customHeight="1" x14ac:dyDescent="0.25">
      <c r="A194" s="3">
        <v>45067</v>
      </c>
      <c r="B194" s="1" t="s">
        <v>7</v>
      </c>
      <c r="C194" s="1" t="s">
        <v>141</v>
      </c>
      <c r="D194" s="1">
        <v>12.29</v>
      </c>
      <c r="E194" s="1">
        <v>17</v>
      </c>
      <c r="F194" s="1">
        <v>2</v>
      </c>
      <c r="G194" s="1" t="s">
        <v>266</v>
      </c>
    </row>
    <row r="195" spans="1:7" ht="15.75" customHeight="1" x14ac:dyDescent="0.25">
      <c r="A195" s="3">
        <v>45067</v>
      </c>
      <c r="B195" s="1" t="s">
        <v>7</v>
      </c>
      <c r="C195" s="1" t="s">
        <v>141</v>
      </c>
      <c r="D195" s="1">
        <v>12.29</v>
      </c>
      <c r="E195" s="1">
        <v>17</v>
      </c>
      <c r="F195" s="1">
        <v>2</v>
      </c>
      <c r="G195" s="1" t="s">
        <v>267</v>
      </c>
    </row>
    <row r="196" spans="1:7" ht="15.75" customHeight="1" x14ac:dyDescent="0.25">
      <c r="A196" s="3">
        <v>45068</v>
      </c>
      <c r="B196" s="1" t="s">
        <v>91</v>
      </c>
      <c r="C196" s="1" t="s">
        <v>185</v>
      </c>
      <c r="D196" s="1">
        <v>18</v>
      </c>
      <c r="E196" s="1">
        <v>25</v>
      </c>
      <c r="F196" s="1">
        <v>7</v>
      </c>
      <c r="G196" s="1" t="s">
        <v>268</v>
      </c>
    </row>
    <row r="197" spans="1:7" ht="15.75" customHeight="1" x14ac:dyDescent="0.25">
      <c r="A197" s="3">
        <v>45068</v>
      </c>
      <c r="B197" s="1" t="s">
        <v>81</v>
      </c>
      <c r="C197" s="1" t="s">
        <v>85</v>
      </c>
      <c r="D197" s="1">
        <v>2.4500000000000002</v>
      </c>
      <c r="E197" s="1">
        <v>4</v>
      </c>
      <c r="F197" s="1">
        <v>2</v>
      </c>
      <c r="G197" s="1" t="s">
        <v>269</v>
      </c>
    </row>
    <row r="198" spans="1:7" ht="15.75" customHeight="1" x14ac:dyDescent="0.25">
      <c r="A198" s="3">
        <v>45068</v>
      </c>
      <c r="B198" s="1" t="s">
        <v>7</v>
      </c>
      <c r="C198" s="1" t="s">
        <v>141</v>
      </c>
      <c r="D198" s="1">
        <v>12.29</v>
      </c>
      <c r="E198" s="1">
        <v>17</v>
      </c>
      <c r="F198" s="1">
        <v>6</v>
      </c>
      <c r="G198" s="1" t="s">
        <v>270</v>
      </c>
    </row>
    <row r="199" spans="1:7" ht="15.75" customHeight="1" x14ac:dyDescent="0.25">
      <c r="A199" s="3">
        <v>45069</v>
      </c>
      <c r="B199" s="1" t="s">
        <v>30</v>
      </c>
      <c r="C199" s="1" t="s">
        <v>31</v>
      </c>
      <c r="D199" s="1">
        <v>20.329999999999998</v>
      </c>
      <c r="E199" s="1">
        <v>25</v>
      </c>
      <c r="F199" s="1">
        <v>6</v>
      </c>
      <c r="G199" s="1" t="s">
        <v>271</v>
      </c>
    </row>
    <row r="200" spans="1:7" ht="15.75" customHeight="1" x14ac:dyDescent="0.25">
      <c r="A200" s="3">
        <v>45069</v>
      </c>
      <c r="B200" s="1" t="s">
        <v>24</v>
      </c>
      <c r="C200" s="1" t="s">
        <v>109</v>
      </c>
      <c r="D200" s="1">
        <v>10.5</v>
      </c>
      <c r="E200" s="1">
        <v>15</v>
      </c>
      <c r="F200" s="1">
        <v>5</v>
      </c>
      <c r="G200" s="1" t="s">
        <v>272</v>
      </c>
    </row>
    <row r="201" spans="1:7" ht="15.75" customHeight="1" x14ac:dyDescent="0.25">
      <c r="A201" s="3">
        <v>45069</v>
      </c>
      <c r="B201" s="1" t="s">
        <v>7</v>
      </c>
      <c r="C201" s="1" t="s">
        <v>39</v>
      </c>
      <c r="D201" s="1">
        <v>7.83</v>
      </c>
      <c r="E201" s="1">
        <v>12</v>
      </c>
      <c r="F201" s="1">
        <v>3</v>
      </c>
      <c r="G201" s="1" t="s">
        <v>273</v>
      </c>
    </row>
    <row r="202" spans="1:7" ht="15.75" customHeight="1" x14ac:dyDescent="0.25">
      <c r="A202" s="3">
        <v>45070</v>
      </c>
      <c r="B202" s="1" t="s">
        <v>18</v>
      </c>
      <c r="C202" s="1" t="s">
        <v>19</v>
      </c>
      <c r="D202" s="1">
        <v>18.5</v>
      </c>
      <c r="E202" s="1">
        <v>23</v>
      </c>
      <c r="F202" s="1">
        <v>3</v>
      </c>
      <c r="G202" s="1" t="s">
        <v>274</v>
      </c>
    </row>
    <row r="203" spans="1:7" ht="15.75" customHeight="1" x14ac:dyDescent="0.25">
      <c r="A203" s="3">
        <v>45070</v>
      </c>
      <c r="B203" s="1" t="s">
        <v>24</v>
      </c>
      <c r="C203" s="1" t="s">
        <v>253</v>
      </c>
      <c r="D203" s="1">
        <v>8.17</v>
      </c>
      <c r="E203" s="1">
        <v>13</v>
      </c>
      <c r="F203" s="1">
        <v>9</v>
      </c>
      <c r="G203" s="1" t="s">
        <v>275</v>
      </c>
    </row>
    <row r="204" spans="1:7" ht="15.75" customHeight="1" x14ac:dyDescent="0.25">
      <c r="A204" s="3">
        <v>45070</v>
      </c>
      <c r="B204" s="1" t="s">
        <v>24</v>
      </c>
      <c r="C204" s="1" t="s">
        <v>253</v>
      </c>
      <c r="D204" s="1">
        <v>8.17</v>
      </c>
      <c r="E204" s="1">
        <v>13</v>
      </c>
      <c r="F204" s="1">
        <v>3</v>
      </c>
      <c r="G204" s="1" t="s">
        <v>276</v>
      </c>
    </row>
    <row r="205" spans="1:7" ht="15.75" customHeight="1" x14ac:dyDescent="0.25">
      <c r="A205" s="3">
        <v>45070</v>
      </c>
      <c r="B205" s="1" t="s">
        <v>7</v>
      </c>
      <c r="C205" s="1" t="s">
        <v>141</v>
      </c>
      <c r="D205" s="1">
        <v>12.29</v>
      </c>
      <c r="E205" s="1">
        <v>17</v>
      </c>
      <c r="F205" s="1">
        <v>3</v>
      </c>
      <c r="G205" s="1" t="s">
        <v>277</v>
      </c>
    </row>
    <row r="206" spans="1:7" ht="15.75" customHeight="1" x14ac:dyDescent="0.25">
      <c r="A206" s="3">
        <v>45072</v>
      </c>
      <c r="B206" s="1" t="s">
        <v>7</v>
      </c>
      <c r="C206" s="1" t="s">
        <v>52</v>
      </c>
      <c r="D206" s="1">
        <v>14.5</v>
      </c>
      <c r="E206" s="1">
        <v>19</v>
      </c>
      <c r="F206" s="1">
        <v>2</v>
      </c>
      <c r="G206" s="1" t="s">
        <v>278</v>
      </c>
    </row>
    <row r="207" spans="1:7" ht="15.75" customHeight="1" x14ac:dyDescent="0.25">
      <c r="A207" s="3">
        <v>45073</v>
      </c>
      <c r="B207" s="1" t="s">
        <v>48</v>
      </c>
      <c r="C207" s="1" t="s">
        <v>199</v>
      </c>
      <c r="D207" s="1">
        <v>35.65</v>
      </c>
      <c r="E207" s="1">
        <v>40</v>
      </c>
      <c r="F207" s="1">
        <v>1</v>
      </c>
      <c r="G207" s="1" t="s">
        <v>279</v>
      </c>
    </row>
    <row r="208" spans="1:7" ht="15.75" customHeight="1" x14ac:dyDescent="0.25">
      <c r="A208" s="3">
        <v>45073</v>
      </c>
      <c r="B208" s="1" t="s">
        <v>48</v>
      </c>
      <c r="C208" s="1" t="s">
        <v>199</v>
      </c>
      <c r="D208" s="1">
        <v>35.65</v>
      </c>
      <c r="E208" s="1">
        <v>40</v>
      </c>
      <c r="F208" s="1">
        <v>1</v>
      </c>
      <c r="G208" s="1" t="s">
        <v>280</v>
      </c>
    </row>
    <row r="209" spans="1:7" ht="15.75" customHeight="1" x14ac:dyDescent="0.25">
      <c r="A209" s="3">
        <v>45073</v>
      </c>
      <c r="B209" s="1" t="s">
        <v>14</v>
      </c>
      <c r="C209" s="1" t="s">
        <v>164</v>
      </c>
      <c r="D209" s="1">
        <v>15.65</v>
      </c>
      <c r="E209" s="1">
        <v>22</v>
      </c>
      <c r="F209" s="1">
        <v>10</v>
      </c>
      <c r="G209" s="1" t="s">
        <v>281</v>
      </c>
    </row>
    <row r="210" spans="1:7" ht="15.75" customHeight="1" x14ac:dyDescent="0.25">
      <c r="A210" s="3">
        <v>45073</v>
      </c>
      <c r="B210" s="1" t="s">
        <v>14</v>
      </c>
      <c r="C210" s="1" t="s">
        <v>164</v>
      </c>
      <c r="D210" s="1">
        <v>15.65</v>
      </c>
      <c r="E210" s="1">
        <v>22</v>
      </c>
      <c r="F210" s="1">
        <v>8</v>
      </c>
      <c r="G210" s="1" t="s">
        <v>282</v>
      </c>
    </row>
    <row r="211" spans="1:7" ht="15.75" customHeight="1" x14ac:dyDescent="0.25">
      <c r="A211" s="3">
        <v>45073</v>
      </c>
      <c r="B211" s="1" t="s">
        <v>45</v>
      </c>
      <c r="C211" s="1" t="s">
        <v>283</v>
      </c>
      <c r="D211" s="1">
        <v>22.5</v>
      </c>
      <c r="E211" s="1">
        <v>28</v>
      </c>
      <c r="F211" s="1">
        <v>6</v>
      </c>
      <c r="G211" s="1" t="s">
        <v>284</v>
      </c>
    </row>
    <row r="212" spans="1:7" ht="15.75" customHeight="1" x14ac:dyDescent="0.25">
      <c r="A212" s="3">
        <v>45073</v>
      </c>
      <c r="B212" s="1" t="s">
        <v>7</v>
      </c>
      <c r="C212" s="1" t="s">
        <v>133</v>
      </c>
      <c r="D212" s="1">
        <v>10.25</v>
      </c>
      <c r="E212" s="1">
        <v>15</v>
      </c>
      <c r="F212" s="1">
        <v>2</v>
      </c>
      <c r="G212" s="1" t="s">
        <v>285</v>
      </c>
    </row>
    <row r="213" spans="1:7" ht="15.75" customHeight="1" x14ac:dyDescent="0.25">
      <c r="A213" s="3">
        <v>45073</v>
      </c>
      <c r="B213" s="1" t="s">
        <v>7</v>
      </c>
      <c r="C213" s="1" t="s">
        <v>133</v>
      </c>
      <c r="D213" s="1">
        <v>10.25</v>
      </c>
      <c r="E213" s="1">
        <v>15</v>
      </c>
      <c r="F213" s="1">
        <v>7</v>
      </c>
      <c r="G213" s="1" t="s">
        <v>286</v>
      </c>
    </row>
    <row r="214" spans="1:7" ht="15.75" customHeight="1" x14ac:dyDescent="0.25">
      <c r="A214" s="3">
        <v>45074</v>
      </c>
      <c r="B214" s="1" t="s">
        <v>21</v>
      </c>
      <c r="C214" s="1" t="s">
        <v>112</v>
      </c>
      <c r="D214" s="1">
        <v>12.5</v>
      </c>
      <c r="E214" s="1">
        <v>16</v>
      </c>
      <c r="F214" s="1">
        <v>1</v>
      </c>
      <c r="G214" s="1" t="s">
        <v>287</v>
      </c>
    </row>
    <row r="215" spans="1:7" ht="15.75" customHeight="1" x14ac:dyDescent="0.25">
      <c r="A215" s="3">
        <v>45074</v>
      </c>
      <c r="B215" s="1" t="s">
        <v>10</v>
      </c>
      <c r="C215" s="1" t="s">
        <v>43</v>
      </c>
      <c r="D215" s="1">
        <v>43.5</v>
      </c>
      <c r="E215" s="1">
        <v>55</v>
      </c>
      <c r="F215" s="1">
        <v>7</v>
      </c>
      <c r="G215" s="1" t="s">
        <v>288</v>
      </c>
    </row>
    <row r="216" spans="1:7" ht="15.75" customHeight="1" x14ac:dyDescent="0.25">
      <c r="A216" s="3">
        <v>45075</v>
      </c>
      <c r="B216" s="1" t="s">
        <v>30</v>
      </c>
      <c r="C216" s="1" t="s">
        <v>105</v>
      </c>
      <c r="D216" s="1">
        <v>19.829999999999998</v>
      </c>
      <c r="E216" s="1">
        <v>24</v>
      </c>
      <c r="F216" s="1">
        <v>5</v>
      </c>
      <c r="G216" s="1" t="s">
        <v>289</v>
      </c>
    </row>
    <row r="217" spans="1:7" ht="15.75" customHeight="1" x14ac:dyDescent="0.25">
      <c r="A217" s="3">
        <v>45075</v>
      </c>
      <c r="B217" s="1" t="s">
        <v>14</v>
      </c>
      <c r="C217" s="1" t="s">
        <v>192</v>
      </c>
      <c r="D217" s="1">
        <v>12.5</v>
      </c>
      <c r="E217" s="1">
        <v>18</v>
      </c>
      <c r="F217" s="1">
        <v>2</v>
      </c>
      <c r="G217" s="1" t="s">
        <v>290</v>
      </c>
    </row>
    <row r="218" spans="1:7" ht="15.75" customHeight="1" x14ac:dyDescent="0.25">
      <c r="A218" s="3">
        <v>45075</v>
      </c>
      <c r="B218" s="1" t="s">
        <v>14</v>
      </c>
      <c r="C218" s="1" t="s">
        <v>192</v>
      </c>
      <c r="D218" s="1">
        <v>12.5</v>
      </c>
      <c r="E218" s="1">
        <v>18</v>
      </c>
      <c r="F218" s="1">
        <v>5</v>
      </c>
      <c r="G218" s="1" t="s">
        <v>291</v>
      </c>
    </row>
    <row r="219" spans="1:7" ht="15.75" customHeight="1" x14ac:dyDescent="0.25">
      <c r="A219" s="3">
        <v>45075</v>
      </c>
      <c r="B219" s="1" t="s">
        <v>21</v>
      </c>
      <c r="C219" s="1" t="s">
        <v>173</v>
      </c>
      <c r="D219" s="1">
        <v>13.5</v>
      </c>
      <c r="E219" s="1">
        <v>18</v>
      </c>
      <c r="F219" s="1">
        <v>2</v>
      </c>
      <c r="G219" s="1" t="s">
        <v>292</v>
      </c>
    </row>
    <row r="220" spans="1:7" ht="15.75" customHeight="1" x14ac:dyDescent="0.25">
      <c r="A220" s="3">
        <v>45075</v>
      </c>
      <c r="B220" s="1" t="s">
        <v>10</v>
      </c>
      <c r="C220" s="1" t="s">
        <v>11</v>
      </c>
      <c r="D220" s="1">
        <v>23.45</v>
      </c>
      <c r="E220" s="1">
        <v>29</v>
      </c>
      <c r="F220" s="1">
        <v>2</v>
      </c>
      <c r="G220" s="1" t="s">
        <v>293</v>
      </c>
    </row>
    <row r="221" spans="1:7" ht="15.75" customHeight="1" x14ac:dyDescent="0.25">
      <c r="A221" s="3">
        <v>45075</v>
      </c>
      <c r="B221" s="1" t="s">
        <v>7</v>
      </c>
      <c r="C221" s="1" t="s">
        <v>39</v>
      </c>
      <c r="D221" s="1">
        <v>7.83</v>
      </c>
      <c r="E221" s="1">
        <v>12</v>
      </c>
      <c r="F221" s="1">
        <v>3</v>
      </c>
      <c r="G221" s="1" t="s">
        <v>294</v>
      </c>
    </row>
    <row r="222" spans="1:7" ht="15.75" customHeight="1" x14ac:dyDescent="0.25">
      <c r="A222" s="3">
        <v>45075</v>
      </c>
      <c r="B222" s="1" t="s">
        <v>7</v>
      </c>
      <c r="C222" s="1" t="s">
        <v>133</v>
      </c>
      <c r="D222" s="1">
        <v>10.25</v>
      </c>
      <c r="E222" s="1">
        <v>15</v>
      </c>
      <c r="F222" s="1">
        <v>1</v>
      </c>
      <c r="G222" s="1" t="s">
        <v>295</v>
      </c>
    </row>
    <row r="223" spans="1:7" ht="15.75" customHeight="1" x14ac:dyDescent="0.25">
      <c r="A223" s="3">
        <v>45075</v>
      </c>
      <c r="B223" s="1" t="s">
        <v>7</v>
      </c>
      <c r="C223" s="1" t="s">
        <v>141</v>
      </c>
      <c r="D223" s="1">
        <v>12.29</v>
      </c>
      <c r="E223" s="1">
        <v>17</v>
      </c>
      <c r="F223" s="1">
        <v>3</v>
      </c>
      <c r="G223" s="1" t="s">
        <v>296</v>
      </c>
    </row>
    <row r="224" spans="1:7" ht="15.75" customHeight="1" x14ac:dyDescent="0.25">
      <c r="A224" s="3">
        <v>45076</v>
      </c>
      <c r="B224" s="1" t="s">
        <v>10</v>
      </c>
      <c r="C224" s="1" t="s">
        <v>66</v>
      </c>
      <c r="D224" s="1">
        <v>32.75</v>
      </c>
      <c r="E224" s="1">
        <v>40</v>
      </c>
      <c r="F224" s="1">
        <v>5</v>
      </c>
      <c r="G224" s="1" t="s">
        <v>297</v>
      </c>
    </row>
    <row r="225" spans="1:7" ht="15.75" customHeight="1" x14ac:dyDescent="0.25">
      <c r="A225" s="3">
        <v>45077</v>
      </c>
      <c r="B225" s="1" t="s">
        <v>18</v>
      </c>
      <c r="C225" s="1" t="s">
        <v>33</v>
      </c>
      <c r="D225" s="1">
        <v>16.170000000000002</v>
      </c>
      <c r="E225" s="1">
        <v>20</v>
      </c>
      <c r="F225" s="1">
        <v>9</v>
      </c>
      <c r="G225" s="1" t="s">
        <v>298</v>
      </c>
    </row>
    <row r="226" spans="1:7" ht="15.75" customHeight="1" x14ac:dyDescent="0.25">
      <c r="A226" s="3">
        <v>45077</v>
      </c>
      <c r="B226" s="1" t="s">
        <v>71</v>
      </c>
      <c r="C226" s="1" t="s">
        <v>72</v>
      </c>
      <c r="D226" s="1">
        <v>22</v>
      </c>
      <c r="E226" s="1">
        <v>27</v>
      </c>
      <c r="F226" s="1">
        <v>6</v>
      </c>
      <c r="G226" s="1" t="s">
        <v>299</v>
      </c>
    </row>
    <row r="227" spans="1:7" ht="15.75" customHeight="1" x14ac:dyDescent="0.25">
      <c r="A227" s="3">
        <v>45077</v>
      </c>
      <c r="B227" s="1" t="s">
        <v>45</v>
      </c>
      <c r="C227" s="1" t="s">
        <v>300</v>
      </c>
      <c r="D227" s="1">
        <v>10.5</v>
      </c>
      <c r="E227" s="1">
        <v>15</v>
      </c>
      <c r="F227" s="1">
        <v>9</v>
      </c>
      <c r="G227" s="1" t="s">
        <v>301</v>
      </c>
    </row>
    <row r="228" spans="1:7" ht="15.75" customHeight="1" x14ac:dyDescent="0.25">
      <c r="A228" s="3">
        <v>45078</v>
      </c>
      <c r="B228" s="1" t="s">
        <v>10</v>
      </c>
      <c r="C228" s="1" t="s">
        <v>66</v>
      </c>
      <c r="D228" s="1">
        <v>32.75</v>
      </c>
      <c r="E228" s="1">
        <v>40</v>
      </c>
      <c r="F228" s="1">
        <v>1</v>
      </c>
      <c r="G228" s="1" t="s">
        <v>302</v>
      </c>
    </row>
    <row r="229" spans="1:7" ht="15.75" customHeight="1" x14ac:dyDescent="0.25">
      <c r="A229" s="3">
        <v>45079</v>
      </c>
      <c r="B229" s="1" t="s">
        <v>48</v>
      </c>
      <c r="C229" s="1" t="s">
        <v>150</v>
      </c>
      <c r="D229" s="1">
        <v>39</v>
      </c>
      <c r="E229" s="1">
        <v>45</v>
      </c>
      <c r="F229" s="1">
        <v>8</v>
      </c>
      <c r="G229" s="1" t="s">
        <v>303</v>
      </c>
    </row>
    <row r="230" spans="1:7" ht="15.75" customHeight="1" x14ac:dyDescent="0.25">
      <c r="A230" s="3">
        <v>45079</v>
      </c>
      <c r="B230" s="1" t="s">
        <v>21</v>
      </c>
      <c r="C230" s="1" t="s">
        <v>112</v>
      </c>
      <c r="D230" s="1">
        <v>12.5</v>
      </c>
      <c r="E230" s="1">
        <v>16</v>
      </c>
      <c r="F230" s="1">
        <v>5</v>
      </c>
      <c r="G230" s="1" t="s">
        <v>304</v>
      </c>
    </row>
    <row r="231" spans="1:7" ht="15.75" customHeight="1" x14ac:dyDescent="0.25">
      <c r="A231" s="3">
        <v>45080</v>
      </c>
      <c r="B231" s="1" t="s">
        <v>30</v>
      </c>
      <c r="C231" s="1" t="s">
        <v>119</v>
      </c>
      <c r="D231" s="1">
        <v>14</v>
      </c>
      <c r="E231" s="1">
        <v>19</v>
      </c>
      <c r="F231" s="1">
        <v>8</v>
      </c>
      <c r="G231" s="1" t="s">
        <v>305</v>
      </c>
    </row>
    <row r="232" spans="1:7" ht="15.75" customHeight="1" x14ac:dyDescent="0.25">
      <c r="A232" s="3">
        <v>45080</v>
      </c>
      <c r="B232" s="1" t="s">
        <v>91</v>
      </c>
      <c r="C232" s="1" t="s">
        <v>92</v>
      </c>
      <c r="D232" s="1">
        <v>15.5</v>
      </c>
      <c r="E232" s="1">
        <v>20</v>
      </c>
      <c r="F232" s="1">
        <v>8</v>
      </c>
      <c r="G232" s="1" t="s">
        <v>306</v>
      </c>
    </row>
    <row r="233" spans="1:7" ht="15.75" customHeight="1" x14ac:dyDescent="0.25">
      <c r="A233" s="3">
        <v>45080</v>
      </c>
      <c r="B233" s="1" t="s">
        <v>7</v>
      </c>
      <c r="C233" s="1" t="s">
        <v>8</v>
      </c>
      <c r="D233" s="1">
        <v>8.17</v>
      </c>
      <c r="E233" s="1">
        <v>13</v>
      </c>
      <c r="F233" s="1">
        <v>9</v>
      </c>
      <c r="G233" s="1" t="s">
        <v>307</v>
      </c>
    </row>
    <row r="234" spans="1:7" ht="15.75" customHeight="1" x14ac:dyDescent="0.25">
      <c r="A234" s="3">
        <v>45081</v>
      </c>
      <c r="B234" s="1" t="s">
        <v>7</v>
      </c>
      <c r="C234" s="1" t="s">
        <v>131</v>
      </c>
      <c r="D234" s="1">
        <v>8.75</v>
      </c>
      <c r="E234" s="1">
        <v>14</v>
      </c>
      <c r="F234" s="1">
        <v>2</v>
      </c>
      <c r="G234" s="1" t="s">
        <v>308</v>
      </c>
    </row>
    <row r="235" spans="1:7" ht="15.75" customHeight="1" x14ac:dyDescent="0.25">
      <c r="A235" s="3">
        <v>45081</v>
      </c>
      <c r="B235" s="1" t="s">
        <v>7</v>
      </c>
      <c r="C235" s="1" t="s">
        <v>141</v>
      </c>
      <c r="D235" s="1">
        <v>12.29</v>
      </c>
      <c r="E235" s="1">
        <v>17</v>
      </c>
      <c r="F235" s="1">
        <v>1</v>
      </c>
      <c r="G235" s="1" t="s">
        <v>309</v>
      </c>
    </row>
    <row r="236" spans="1:7" ht="15.75" customHeight="1" x14ac:dyDescent="0.25">
      <c r="A236" s="3">
        <v>45081</v>
      </c>
      <c r="B236" s="1" t="s">
        <v>7</v>
      </c>
      <c r="C236" s="1" t="s">
        <v>52</v>
      </c>
      <c r="D236" s="1">
        <v>14.5</v>
      </c>
      <c r="E236" s="1">
        <v>19</v>
      </c>
      <c r="F236" s="1">
        <v>8</v>
      </c>
      <c r="G236" s="1" t="s">
        <v>310</v>
      </c>
    </row>
    <row r="237" spans="1:7" ht="15.75" customHeight="1" x14ac:dyDescent="0.25">
      <c r="A237" s="3">
        <v>45082</v>
      </c>
      <c r="B237" s="1" t="s">
        <v>74</v>
      </c>
      <c r="C237" s="1" t="s">
        <v>123</v>
      </c>
      <c r="D237" s="1">
        <v>23.5</v>
      </c>
      <c r="E237" s="1">
        <v>28</v>
      </c>
      <c r="F237" s="1">
        <v>8</v>
      </c>
      <c r="G237" s="1" t="s">
        <v>311</v>
      </c>
    </row>
    <row r="238" spans="1:7" ht="15.75" customHeight="1" x14ac:dyDescent="0.25">
      <c r="A238" s="3">
        <v>45082</v>
      </c>
      <c r="B238" s="1" t="s">
        <v>24</v>
      </c>
      <c r="C238" s="1" t="s">
        <v>253</v>
      </c>
      <c r="D238" s="1">
        <v>8.17</v>
      </c>
      <c r="E238" s="1">
        <v>13</v>
      </c>
      <c r="F238" s="1">
        <v>1</v>
      </c>
      <c r="G238" s="1" t="s">
        <v>312</v>
      </c>
    </row>
    <row r="239" spans="1:7" ht="15.75" customHeight="1" x14ac:dyDescent="0.25">
      <c r="A239" s="3">
        <v>45082</v>
      </c>
      <c r="B239" s="1" t="s">
        <v>24</v>
      </c>
      <c r="C239" s="1" t="s">
        <v>145</v>
      </c>
      <c r="D239" s="1">
        <v>9.5</v>
      </c>
      <c r="E239" s="1">
        <v>14</v>
      </c>
      <c r="F239" s="1">
        <v>5</v>
      </c>
      <c r="G239" s="1" t="s">
        <v>313</v>
      </c>
    </row>
    <row r="240" spans="1:7" ht="15.75" customHeight="1" x14ac:dyDescent="0.25">
      <c r="A240" s="3">
        <v>45082</v>
      </c>
      <c r="B240" s="1" t="s">
        <v>7</v>
      </c>
      <c r="C240" s="1" t="s">
        <v>133</v>
      </c>
      <c r="D240" s="1">
        <v>10.25</v>
      </c>
      <c r="E240" s="1">
        <v>15</v>
      </c>
      <c r="F240" s="1">
        <v>9</v>
      </c>
      <c r="G240" s="1" t="s">
        <v>314</v>
      </c>
    </row>
    <row r="241" spans="1:7" ht="15.75" customHeight="1" x14ac:dyDescent="0.25">
      <c r="A241" s="3">
        <v>45083</v>
      </c>
      <c r="B241" s="1" t="s">
        <v>14</v>
      </c>
      <c r="C241" s="1" t="s">
        <v>192</v>
      </c>
      <c r="D241" s="1">
        <v>12.5</v>
      </c>
      <c r="E241" s="1">
        <v>18</v>
      </c>
      <c r="F241" s="1">
        <v>2</v>
      </c>
      <c r="G241" s="1" t="s">
        <v>315</v>
      </c>
    </row>
    <row r="242" spans="1:7" ht="15.75" customHeight="1" x14ac:dyDescent="0.25">
      <c r="A242" s="3">
        <v>45084</v>
      </c>
      <c r="B242" s="1" t="s">
        <v>10</v>
      </c>
      <c r="C242" s="1" t="s">
        <v>37</v>
      </c>
      <c r="D242" s="1">
        <v>13.83</v>
      </c>
      <c r="E242" s="1">
        <v>18</v>
      </c>
      <c r="F242" s="1">
        <v>5</v>
      </c>
      <c r="G242" s="1" t="s">
        <v>316</v>
      </c>
    </row>
    <row r="243" spans="1:7" ht="15.75" customHeight="1" x14ac:dyDescent="0.25">
      <c r="A243" s="3">
        <v>45085</v>
      </c>
      <c r="B243" s="1" t="s">
        <v>18</v>
      </c>
      <c r="C243" s="1" t="s">
        <v>19</v>
      </c>
      <c r="D243" s="1">
        <v>18.5</v>
      </c>
      <c r="E243" s="1">
        <v>23</v>
      </c>
      <c r="F243" s="1">
        <v>6</v>
      </c>
      <c r="G243" s="1" t="s">
        <v>317</v>
      </c>
    </row>
    <row r="244" spans="1:7" ht="15.75" customHeight="1" x14ac:dyDescent="0.25">
      <c r="A244" s="3">
        <v>45085</v>
      </c>
      <c r="B244" s="1" t="s">
        <v>71</v>
      </c>
      <c r="C244" s="1" t="s">
        <v>72</v>
      </c>
      <c r="D244" s="1">
        <v>22</v>
      </c>
      <c r="E244" s="1">
        <v>27</v>
      </c>
      <c r="F244" s="1">
        <v>3</v>
      </c>
      <c r="G244" s="1" t="s">
        <v>318</v>
      </c>
    </row>
    <row r="245" spans="1:7" ht="15.75" customHeight="1" x14ac:dyDescent="0.25">
      <c r="A245" s="3">
        <v>45085</v>
      </c>
      <c r="B245" s="1" t="s">
        <v>10</v>
      </c>
      <c r="C245" s="1" t="s">
        <v>37</v>
      </c>
      <c r="D245" s="1">
        <v>13.83</v>
      </c>
      <c r="E245" s="1">
        <v>18</v>
      </c>
      <c r="F245" s="1">
        <v>1</v>
      </c>
      <c r="G245" s="1" t="s">
        <v>319</v>
      </c>
    </row>
    <row r="246" spans="1:7" ht="15.75" customHeight="1" x14ac:dyDescent="0.25">
      <c r="A246" s="3">
        <v>45085</v>
      </c>
      <c r="B246" s="1" t="s">
        <v>7</v>
      </c>
      <c r="C246" s="1" t="s">
        <v>320</v>
      </c>
      <c r="D246" s="1">
        <v>32</v>
      </c>
      <c r="E246" s="1">
        <v>37</v>
      </c>
      <c r="F246" s="1">
        <v>1</v>
      </c>
      <c r="G246" s="1" t="s">
        <v>321</v>
      </c>
    </row>
    <row r="247" spans="1:7" ht="15.75" customHeight="1" x14ac:dyDescent="0.25">
      <c r="A247" s="3">
        <v>45085</v>
      </c>
      <c r="B247" s="1" t="s">
        <v>7</v>
      </c>
      <c r="C247" s="1" t="s">
        <v>320</v>
      </c>
      <c r="D247" s="1">
        <v>32</v>
      </c>
      <c r="E247" s="1">
        <v>37</v>
      </c>
      <c r="F247" s="1">
        <v>3</v>
      </c>
      <c r="G247" s="1" t="s">
        <v>322</v>
      </c>
    </row>
    <row r="248" spans="1:7" ht="15.75" customHeight="1" x14ac:dyDescent="0.25">
      <c r="A248" s="3">
        <v>45085</v>
      </c>
      <c r="B248" s="1" t="s">
        <v>7</v>
      </c>
      <c r="C248" s="1" t="s">
        <v>320</v>
      </c>
      <c r="D248" s="1">
        <v>32</v>
      </c>
      <c r="E248" s="1">
        <v>37</v>
      </c>
      <c r="F248" s="1">
        <v>6</v>
      </c>
      <c r="G248" s="1" t="s">
        <v>323</v>
      </c>
    </row>
    <row r="249" spans="1:7" ht="15.75" customHeight="1" x14ac:dyDescent="0.25">
      <c r="A249" s="3">
        <v>45086</v>
      </c>
      <c r="B249" s="1" t="s">
        <v>30</v>
      </c>
      <c r="C249" s="1" t="s">
        <v>105</v>
      </c>
      <c r="D249" s="1">
        <v>19.829999999999998</v>
      </c>
      <c r="E249" s="1">
        <v>24</v>
      </c>
      <c r="F249" s="1">
        <v>1</v>
      </c>
      <c r="G249" s="1" t="s">
        <v>324</v>
      </c>
    </row>
    <row r="250" spans="1:7" ht="15.75" customHeight="1" x14ac:dyDescent="0.25">
      <c r="A250" s="3">
        <v>45086</v>
      </c>
      <c r="B250" s="1" t="s">
        <v>48</v>
      </c>
      <c r="C250" s="1" t="s">
        <v>150</v>
      </c>
      <c r="D250" s="1">
        <v>39</v>
      </c>
      <c r="E250" s="1">
        <v>45</v>
      </c>
      <c r="F250" s="1">
        <v>2</v>
      </c>
      <c r="G250" s="1" t="s">
        <v>325</v>
      </c>
    </row>
    <row r="251" spans="1:7" ht="15.75" customHeight="1" x14ac:dyDescent="0.25">
      <c r="A251" s="3">
        <v>45086</v>
      </c>
      <c r="B251" s="1" t="s">
        <v>74</v>
      </c>
      <c r="C251" s="1" t="s">
        <v>75</v>
      </c>
      <c r="D251" s="1">
        <v>45.24</v>
      </c>
      <c r="E251" s="1">
        <v>65</v>
      </c>
      <c r="F251" s="1">
        <v>3</v>
      </c>
      <c r="G251" s="1" t="s">
        <v>326</v>
      </c>
    </row>
    <row r="252" spans="1:7" ht="15.75" customHeight="1" x14ac:dyDescent="0.25">
      <c r="A252" s="3">
        <v>45087</v>
      </c>
      <c r="B252" s="1" t="s">
        <v>71</v>
      </c>
      <c r="C252" s="1" t="s">
        <v>72</v>
      </c>
      <c r="D252" s="1">
        <v>22</v>
      </c>
      <c r="E252" s="1">
        <v>27</v>
      </c>
      <c r="F252" s="1">
        <v>8</v>
      </c>
      <c r="G252" s="1" t="s">
        <v>327</v>
      </c>
    </row>
    <row r="253" spans="1:7" ht="15.75" customHeight="1" x14ac:dyDescent="0.25">
      <c r="A253" s="3">
        <v>45087</v>
      </c>
      <c r="B253" s="1" t="s">
        <v>21</v>
      </c>
      <c r="C253" s="1" t="s">
        <v>22</v>
      </c>
      <c r="D253" s="1">
        <v>15.67</v>
      </c>
      <c r="E253" s="1">
        <v>20</v>
      </c>
      <c r="F253" s="1">
        <v>8</v>
      </c>
      <c r="G253" s="1" t="s">
        <v>328</v>
      </c>
    </row>
    <row r="254" spans="1:7" ht="15.75" customHeight="1" x14ac:dyDescent="0.25">
      <c r="A254" s="3">
        <v>45087</v>
      </c>
      <c r="B254" s="1" t="s">
        <v>10</v>
      </c>
      <c r="C254" s="1" t="s">
        <v>137</v>
      </c>
      <c r="D254" s="1">
        <v>12.5</v>
      </c>
      <c r="E254" s="1">
        <v>17</v>
      </c>
      <c r="F254" s="1">
        <v>9</v>
      </c>
      <c r="G254" s="1" t="s">
        <v>329</v>
      </c>
    </row>
    <row r="255" spans="1:7" ht="15.75" customHeight="1" x14ac:dyDescent="0.25">
      <c r="A255" s="3">
        <v>45087</v>
      </c>
      <c r="B255" s="1" t="s">
        <v>7</v>
      </c>
      <c r="C255" s="1" t="s">
        <v>133</v>
      </c>
      <c r="D255" s="1">
        <v>10.25</v>
      </c>
      <c r="E255" s="1">
        <v>15</v>
      </c>
      <c r="F255" s="1">
        <v>10</v>
      </c>
      <c r="G255" s="1" t="s">
        <v>330</v>
      </c>
    </row>
    <row r="256" spans="1:7" ht="15.75" customHeight="1" x14ac:dyDescent="0.25">
      <c r="A256" s="3">
        <v>45088</v>
      </c>
      <c r="B256" s="1" t="s">
        <v>21</v>
      </c>
      <c r="C256" s="1" t="s">
        <v>112</v>
      </c>
      <c r="D256" s="1">
        <v>12.5</v>
      </c>
      <c r="E256" s="1">
        <v>16</v>
      </c>
      <c r="F256" s="1">
        <v>4</v>
      </c>
      <c r="G256" s="1" t="s">
        <v>331</v>
      </c>
    </row>
    <row r="257" spans="1:7" ht="15.75" customHeight="1" x14ac:dyDescent="0.25">
      <c r="A257" s="3">
        <v>45089</v>
      </c>
      <c r="B257" s="1" t="s">
        <v>30</v>
      </c>
      <c r="C257" s="1" t="s">
        <v>119</v>
      </c>
      <c r="D257" s="1">
        <v>14</v>
      </c>
      <c r="E257" s="1">
        <v>19</v>
      </c>
      <c r="F257" s="1">
        <v>4</v>
      </c>
      <c r="G257" s="1" t="s">
        <v>332</v>
      </c>
    </row>
    <row r="258" spans="1:7" ht="15.75" customHeight="1" x14ac:dyDescent="0.25">
      <c r="A258" s="3">
        <v>45089</v>
      </c>
      <c r="B258" s="1" t="s">
        <v>30</v>
      </c>
      <c r="C258" s="1" t="s">
        <v>31</v>
      </c>
      <c r="D258" s="1">
        <v>20.329999999999998</v>
      </c>
      <c r="E258" s="1">
        <v>25</v>
      </c>
      <c r="F258" s="1">
        <v>2</v>
      </c>
      <c r="G258" s="1" t="s">
        <v>333</v>
      </c>
    </row>
    <row r="259" spans="1:7" ht="15.75" customHeight="1" x14ac:dyDescent="0.25">
      <c r="A259" s="3">
        <v>45090</v>
      </c>
      <c r="B259" s="1" t="s">
        <v>45</v>
      </c>
      <c r="C259" s="1" t="s">
        <v>300</v>
      </c>
      <c r="D259" s="1">
        <v>10.5</v>
      </c>
      <c r="E259" s="1">
        <v>15</v>
      </c>
      <c r="F259" s="1">
        <v>2</v>
      </c>
      <c r="G259" s="1" t="s">
        <v>334</v>
      </c>
    </row>
    <row r="260" spans="1:7" ht="15.75" customHeight="1" x14ac:dyDescent="0.25">
      <c r="A260" s="3">
        <v>45090</v>
      </c>
      <c r="B260" s="1" t="s">
        <v>7</v>
      </c>
      <c r="C260" s="1" t="s">
        <v>320</v>
      </c>
      <c r="D260" s="1">
        <v>32</v>
      </c>
      <c r="E260" s="1">
        <v>37</v>
      </c>
      <c r="F260" s="1">
        <v>2</v>
      </c>
      <c r="G260" s="1" t="s">
        <v>335</v>
      </c>
    </row>
    <row r="261" spans="1:7" ht="15.75" customHeight="1" x14ac:dyDescent="0.25">
      <c r="A261" s="3">
        <v>45091</v>
      </c>
      <c r="B261" s="1" t="s">
        <v>10</v>
      </c>
      <c r="C261" s="1" t="s">
        <v>336</v>
      </c>
      <c r="D261" s="1">
        <v>17.170000000000002</v>
      </c>
      <c r="E261" s="1">
        <v>22</v>
      </c>
      <c r="F261" s="1">
        <v>3</v>
      </c>
      <c r="G261" s="1" t="s">
        <v>337</v>
      </c>
    </row>
    <row r="262" spans="1:7" ht="15.75" customHeight="1" x14ac:dyDescent="0.25">
      <c r="A262" s="3">
        <v>45091</v>
      </c>
      <c r="B262" s="1" t="s">
        <v>24</v>
      </c>
      <c r="C262" s="1" t="s">
        <v>253</v>
      </c>
      <c r="D262" s="1">
        <v>8.17</v>
      </c>
      <c r="E262" s="1">
        <v>13</v>
      </c>
      <c r="F262" s="1">
        <v>7</v>
      </c>
      <c r="G262" s="1" t="s">
        <v>338</v>
      </c>
    </row>
    <row r="263" spans="1:7" ht="15.75" customHeight="1" x14ac:dyDescent="0.25">
      <c r="A263" s="3">
        <v>45092</v>
      </c>
      <c r="B263" s="1" t="s">
        <v>71</v>
      </c>
      <c r="C263" s="1" t="s">
        <v>161</v>
      </c>
      <c r="D263" s="1">
        <v>48.67</v>
      </c>
      <c r="E263" s="1">
        <v>58</v>
      </c>
      <c r="F263" s="1">
        <v>6</v>
      </c>
      <c r="G263" s="1" t="s">
        <v>339</v>
      </c>
    </row>
    <row r="264" spans="1:7" ht="15.75" customHeight="1" x14ac:dyDescent="0.25">
      <c r="A264" s="3">
        <v>45092</v>
      </c>
      <c r="B264" s="1" t="s">
        <v>10</v>
      </c>
      <c r="C264" s="1" t="s">
        <v>336</v>
      </c>
      <c r="D264" s="1">
        <v>17.170000000000002</v>
      </c>
      <c r="E264" s="1">
        <v>22</v>
      </c>
      <c r="F264" s="1">
        <v>8</v>
      </c>
      <c r="G264" s="1" t="s">
        <v>340</v>
      </c>
    </row>
    <row r="265" spans="1:7" ht="15.75" customHeight="1" x14ac:dyDescent="0.25">
      <c r="A265" s="3">
        <v>45092</v>
      </c>
      <c r="B265" s="1" t="s">
        <v>7</v>
      </c>
      <c r="C265" s="1" t="s">
        <v>39</v>
      </c>
      <c r="D265" s="1">
        <v>7.83</v>
      </c>
      <c r="E265" s="1">
        <v>12</v>
      </c>
      <c r="F265" s="1">
        <v>3</v>
      </c>
      <c r="G265" s="1" t="s">
        <v>341</v>
      </c>
    </row>
    <row r="266" spans="1:7" ht="15.75" customHeight="1" x14ac:dyDescent="0.25">
      <c r="A266" s="3">
        <v>45092</v>
      </c>
      <c r="B266" s="1" t="s">
        <v>7</v>
      </c>
      <c r="C266" s="1" t="s">
        <v>131</v>
      </c>
      <c r="D266" s="1">
        <v>8.75</v>
      </c>
      <c r="E266" s="1">
        <v>14</v>
      </c>
      <c r="F266" s="1">
        <v>5</v>
      </c>
      <c r="G266" s="1" t="s">
        <v>342</v>
      </c>
    </row>
    <row r="267" spans="1:7" ht="15.75" customHeight="1" x14ac:dyDescent="0.25">
      <c r="A267" s="3">
        <v>45093</v>
      </c>
      <c r="B267" s="1" t="s">
        <v>21</v>
      </c>
      <c r="C267" s="1" t="s">
        <v>22</v>
      </c>
      <c r="D267" s="1">
        <v>15.67</v>
      </c>
      <c r="E267" s="1">
        <v>20</v>
      </c>
      <c r="F267" s="1">
        <v>10</v>
      </c>
      <c r="G267" s="1" t="s">
        <v>343</v>
      </c>
    </row>
    <row r="268" spans="1:7" ht="15.75" customHeight="1" x14ac:dyDescent="0.25">
      <c r="A268" s="3">
        <v>45093</v>
      </c>
      <c r="B268" s="1" t="s">
        <v>81</v>
      </c>
      <c r="C268" s="1" t="s">
        <v>121</v>
      </c>
      <c r="D268" s="1">
        <v>3.15</v>
      </c>
      <c r="E268" s="1">
        <v>5</v>
      </c>
      <c r="F268" s="1">
        <v>7</v>
      </c>
      <c r="G268" s="1" t="s">
        <v>344</v>
      </c>
    </row>
    <row r="269" spans="1:7" ht="15.75" customHeight="1" x14ac:dyDescent="0.25">
      <c r="A269" s="3">
        <v>45093</v>
      </c>
      <c r="B269" s="1" t="s">
        <v>7</v>
      </c>
      <c r="C269" s="1" t="s">
        <v>52</v>
      </c>
      <c r="D269" s="1">
        <v>14.5</v>
      </c>
      <c r="E269" s="1">
        <v>19</v>
      </c>
      <c r="F269" s="1">
        <v>1</v>
      </c>
      <c r="G269" s="1" t="s">
        <v>345</v>
      </c>
    </row>
    <row r="270" spans="1:7" ht="15.75" customHeight="1" x14ac:dyDescent="0.25">
      <c r="A270" s="3">
        <v>45093</v>
      </c>
      <c r="B270" s="1" t="s">
        <v>7</v>
      </c>
      <c r="C270" s="1" t="s">
        <v>52</v>
      </c>
      <c r="D270" s="1">
        <v>14.5</v>
      </c>
      <c r="E270" s="1">
        <v>19</v>
      </c>
      <c r="F270" s="1">
        <v>2</v>
      </c>
      <c r="G270" s="1" t="s">
        <v>346</v>
      </c>
    </row>
    <row r="271" spans="1:7" ht="15.75" customHeight="1" x14ac:dyDescent="0.25">
      <c r="A271" s="3">
        <v>45093</v>
      </c>
      <c r="B271" s="1" t="s">
        <v>7</v>
      </c>
      <c r="C271" s="1" t="s">
        <v>52</v>
      </c>
      <c r="D271" s="1">
        <v>14.5</v>
      </c>
      <c r="E271" s="1">
        <v>19</v>
      </c>
      <c r="F271" s="1">
        <v>9</v>
      </c>
      <c r="G271" s="1" t="s">
        <v>347</v>
      </c>
    </row>
    <row r="272" spans="1:7" ht="15.75" customHeight="1" x14ac:dyDescent="0.25">
      <c r="A272" s="3">
        <v>45094</v>
      </c>
      <c r="B272" s="1" t="s">
        <v>7</v>
      </c>
      <c r="C272" s="1" t="s">
        <v>52</v>
      </c>
      <c r="D272" s="1">
        <v>14.5</v>
      </c>
      <c r="E272" s="1">
        <v>19</v>
      </c>
      <c r="F272" s="1">
        <v>8</v>
      </c>
      <c r="G272" s="1" t="s">
        <v>348</v>
      </c>
    </row>
    <row r="273" spans="1:7" ht="15.75" customHeight="1" x14ac:dyDescent="0.25">
      <c r="A273" s="3">
        <v>45095</v>
      </c>
      <c r="B273" s="1" t="s">
        <v>14</v>
      </c>
      <c r="C273" s="1" t="s">
        <v>15</v>
      </c>
      <c r="D273" s="1">
        <v>10.25</v>
      </c>
      <c r="E273" s="1">
        <v>14</v>
      </c>
      <c r="F273" s="1">
        <v>3</v>
      </c>
      <c r="G273" s="1" t="s">
        <v>349</v>
      </c>
    </row>
    <row r="274" spans="1:7" ht="15.75" customHeight="1" x14ac:dyDescent="0.25">
      <c r="A274" s="3">
        <v>45095</v>
      </c>
      <c r="B274" s="1" t="s">
        <v>14</v>
      </c>
      <c r="C274" s="1" t="s">
        <v>15</v>
      </c>
      <c r="D274" s="1">
        <v>10.25</v>
      </c>
      <c r="E274" s="1">
        <v>14</v>
      </c>
      <c r="F274" s="1">
        <v>5</v>
      </c>
      <c r="G274" s="1" t="s">
        <v>350</v>
      </c>
    </row>
    <row r="275" spans="1:7" ht="15.75" customHeight="1" x14ac:dyDescent="0.25">
      <c r="A275" s="3">
        <v>45095</v>
      </c>
      <c r="B275" s="1" t="s">
        <v>81</v>
      </c>
      <c r="C275" s="1" t="s">
        <v>82</v>
      </c>
      <c r="D275" s="1">
        <v>1.25</v>
      </c>
      <c r="E275" s="1">
        <v>3</v>
      </c>
      <c r="F275" s="1">
        <v>6</v>
      </c>
      <c r="G275" s="1" t="s">
        <v>351</v>
      </c>
    </row>
    <row r="276" spans="1:7" ht="15.75" customHeight="1" x14ac:dyDescent="0.25">
      <c r="A276" s="3">
        <v>45096</v>
      </c>
      <c r="B276" s="1" t="s">
        <v>74</v>
      </c>
      <c r="C276" s="1" t="s">
        <v>78</v>
      </c>
      <c r="D276" s="1">
        <v>13</v>
      </c>
      <c r="E276" s="1">
        <v>18</v>
      </c>
      <c r="F276" s="1">
        <v>4</v>
      </c>
      <c r="G276" s="1" t="s">
        <v>352</v>
      </c>
    </row>
    <row r="277" spans="1:7" ht="15.75" customHeight="1" x14ac:dyDescent="0.25">
      <c r="A277" s="3">
        <v>45096</v>
      </c>
      <c r="B277" s="1" t="s">
        <v>81</v>
      </c>
      <c r="C277" s="1" t="s">
        <v>85</v>
      </c>
      <c r="D277" s="1">
        <v>2.4500000000000002</v>
      </c>
      <c r="E277" s="1">
        <v>4</v>
      </c>
      <c r="F277" s="1">
        <v>3</v>
      </c>
      <c r="G277" s="1" t="s">
        <v>353</v>
      </c>
    </row>
    <row r="278" spans="1:7" ht="15.75" customHeight="1" x14ac:dyDescent="0.25">
      <c r="A278" s="3">
        <v>45097</v>
      </c>
      <c r="B278" s="1" t="s">
        <v>18</v>
      </c>
      <c r="C278" s="1" t="s">
        <v>153</v>
      </c>
      <c r="D278" s="1">
        <v>12.5</v>
      </c>
      <c r="E278" s="1">
        <v>18</v>
      </c>
      <c r="F278" s="1">
        <v>4</v>
      </c>
      <c r="G278" s="1" t="s">
        <v>354</v>
      </c>
    </row>
    <row r="279" spans="1:7" ht="15.75" customHeight="1" x14ac:dyDescent="0.25">
      <c r="A279" s="3">
        <v>45097</v>
      </c>
      <c r="B279" s="1" t="s">
        <v>18</v>
      </c>
      <c r="C279" s="1" t="s">
        <v>355</v>
      </c>
      <c r="D279" s="1">
        <v>13.35</v>
      </c>
      <c r="E279" s="1">
        <v>19</v>
      </c>
      <c r="F279" s="1">
        <v>2</v>
      </c>
      <c r="G279" s="1" t="s">
        <v>356</v>
      </c>
    </row>
    <row r="280" spans="1:7" ht="15.75" customHeight="1" x14ac:dyDescent="0.25">
      <c r="A280" s="3">
        <v>45097</v>
      </c>
      <c r="B280" s="1" t="s">
        <v>18</v>
      </c>
      <c r="C280" s="1" t="s">
        <v>355</v>
      </c>
      <c r="D280" s="1">
        <v>13.35</v>
      </c>
      <c r="E280" s="1">
        <v>19</v>
      </c>
      <c r="F280" s="1">
        <v>2</v>
      </c>
      <c r="G280" s="1" t="s">
        <v>357</v>
      </c>
    </row>
    <row r="281" spans="1:7" ht="15.75" customHeight="1" x14ac:dyDescent="0.25">
      <c r="A281" s="3">
        <v>45097</v>
      </c>
      <c r="B281" s="1" t="s">
        <v>14</v>
      </c>
      <c r="C281" s="1" t="s">
        <v>164</v>
      </c>
      <c r="D281" s="1">
        <v>15.65</v>
      </c>
      <c r="E281" s="1">
        <v>22</v>
      </c>
      <c r="F281" s="1">
        <v>9</v>
      </c>
      <c r="G281" s="1" t="s">
        <v>358</v>
      </c>
    </row>
    <row r="282" spans="1:7" ht="15.75" customHeight="1" x14ac:dyDescent="0.25">
      <c r="A282" s="3">
        <v>45098</v>
      </c>
      <c r="B282" s="1" t="s">
        <v>71</v>
      </c>
      <c r="C282" s="1" t="s">
        <v>72</v>
      </c>
      <c r="D282" s="1">
        <v>22</v>
      </c>
      <c r="E282" s="1">
        <v>27</v>
      </c>
      <c r="F282" s="1">
        <v>10</v>
      </c>
      <c r="G282" s="1" t="s">
        <v>359</v>
      </c>
    </row>
    <row r="283" spans="1:7" ht="15.75" customHeight="1" x14ac:dyDescent="0.25">
      <c r="A283" s="3">
        <v>45098</v>
      </c>
      <c r="B283" s="1" t="s">
        <v>7</v>
      </c>
      <c r="C283" s="1" t="s">
        <v>52</v>
      </c>
      <c r="D283" s="1">
        <v>14.5</v>
      </c>
      <c r="E283" s="1">
        <v>19</v>
      </c>
      <c r="F283" s="1">
        <v>2</v>
      </c>
      <c r="G283" s="1" t="s">
        <v>360</v>
      </c>
    </row>
    <row r="284" spans="1:7" ht="15.75" customHeight="1" x14ac:dyDescent="0.25">
      <c r="A284" s="3">
        <v>45099</v>
      </c>
      <c r="B284" s="1" t="s">
        <v>30</v>
      </c>
      <c r="C284" s="1" t="s">
        <v>125</v>
      </c>
      <c r="D284" s="1">
        <v>12.33</v>
      </c>
      <c r="E284" s="1">
        <v>17</v>
      </c>
      <c r="F284" s="1">
        <v>1</v>
      </c>
      <c r="G284" s="1" t="s">
        <v>361</v>
      </c>
    </row>
    <row r="285" spans="1:7" ht="15.75" customHeight="1" x14ac:dyDescent="0.25">
      <c r="A285" s="3">
        <v>45099</v>
      </c>
      <c r="B285" s="1" t="s">
        <v>7</v>
      </c>
      <c r="C285" s="1" t="s">
        <v>320</v>
      </c>
      <c r="D285" s="1">
        <v>32</v>
      </c>
      <c r="E285" s="1">
        <v>37</v>
      </c>
      <c r="F285" s="1">
        <v>2</v>
      </c>
      <c r="G285" s="1" t="s">
        <v>362</v>
      </c>
    </row>
    <row r="286" spans="1:7" ht="15.75" customHeight="1" x14ac:dyDescent="0.25">
      <c r="A286" s="3">
        <v>45100</v>
      </c>
      <c r="B286" s="1" t="s">
        <v>24</v>
      </c>
      <c r="C286" s="1" t="s">
        <v>109</v>
      </c>
      <c r="D286" s="1">
        <v>10.5</v>
      </c>
      <c r="E286" s="1">
        <v>15</v>
      </c>
      <c r="F286" s="1">
        <v>2</v>
      </c>
      <c r="G286" s="1" t="s">
        <v>363</v>
      </c>
    </row>
    <row r="287" spans="1:7" ht="15.75" customHeight="1" x14ac:dyDescent="0.25">
      <c r="A287" s="3">
        <v>45100</v>
      </c>
      <c r="B287" s="1" t="s">
        <v>24</v>
      </c>
      <c r="C287" s="1" t="s">
        <v>109</v>
      </c>
      <c r="D287" s="1">
        <v>10.5</v>
      </c>
      <c r="E287" s="1">
        <v>15</v>
      </c>
      <c r="F287" s="1">
        <v>6</v>
      </c>
      <c r="G287" s="1" t="s">
        <v>364</v>
      </c>
    </row>
    <row r="288" spans="1:7" ht="15.75" customHeight="1" x14ac:dyDescent="0.25">
      <c r="A288" s="3">
        <v>45101</v>
      </c>
      <c r="B288" s="1" t="s">
        <v>7</v>
      </c>
      <c r="C288" s="1" t="s">
        <v>39</v>
      </c>
      <c r="D288" s="1">
        <v>7.83</v>
      </c>
      <c r="E288" s="1">
        <v>12</v>
      </c>
      <c r="F288" s="1">
        <v>8</v>
      </c>
      <c r="G288" s="1" t="s">
        <v>365</v>
      </c>
    </row>
    <row r="289" spans="1:7" ht="15.75" customHeight="1" x14ac:dyDescent="0.25">
      <c r="A289" s="3">
        <v>45101</v>
      </c>
      <c r="B289" s="1" t="s">
        <v>7</v>
      </c>
      <c r="C289" s="1" t="s">
        <v>52</v>
      </c>
      <c r="D289" s="1">
        <v>14.5</v>
      </c>
      <c r="E289" s="1">
        <v>19</v>
      </c>
      <c r="F289" s="1">
        <v>8</v>
      </c>
      <c r="G289" s="1" t="s">
        <v>366</v>
      </c>
    </row>
    <row r="290" spans="1:7" ht="15.75" customHeight="1" x14ac:dyDescent="0.25">
      <c r="A290" s="3">
        <v>45101</v>
      </c>
      <c r="B290" s="1" t="s">
        <v>7</v>
      </c>
      <c r="C290" s="1" t="s">
        <v>52</v>
      </c>
      <c r="D290" s="1">
        <v>14.5</v>
      </c>
      <c r="E290" s="1">
        <v>19</v>
      </c>
      <c r="F290" s="1">
        <v>3</v>
      </c>
      <c r="G290" s="1" t="s">
        <v>367</v>
      </c>
    </row>
    <row r="291" spans="1:7" ht="15.75" customHeight="1" x14ac:dyDescent="0.25">
      <c r="A291" s="3">
        <v>45101</v>
      </c>
      <c r="B291" s="1" t="s">
        <v>7</v>
      </c>
      <c r="C291" s="1" t="s">
        <v>52</v>
      </c>
      <c r="D291" s="1">
        <v>14.5</v>
      </c>
      <c r="E291" s="1">
        <v>19</v>
      </c>
      <c r="F291" s="1">
        <v>6</v>
      </c>
      <c r="G291" s="1" t="s">
        <v>368</v>
      </c>
    </row>
    <row r="292" spans="1:7" ht="15.75" customHeight="1" x14ac:dyDescent="0.25">
      <c r="A292" s="3">
        <v>45102</v>
      </c>
      <c r="B292" s="1" t="s">
        <v>91</v>
      </c>
      <c r="C292" s="1" t="s">
        <v>207</v>
      </c>
      <c r="D292" s="1">
        <v>22.25</v>
      </c>
      <c r="E292" s="1">
        <v>30</v>
      </c>
      <c r="F292" s="1">
        <v>8</v>
      </c>
      <c r="G292" s="1" t="s">
        <v>369</v>
      </c>
    </row>
    <row r="293" spans="1:7" ht="15.75" customHeight="1" x14ac:dyDescent="0.25">
      <c r="A293" s="3">
        <v>45102</v>
      </c>
      <c r="B293" s="1" t="s">
        <v>10</v>
      </c>
      <c r="C293" s="1" t="s">
        <v>43</v>
      </c>
      <c r="D293" s="1">
        <v>43.5</v>
      </c>
      <c r="E293" s="1">
        <v>55</v>
      </c>
      <c r="F293" s="1">
        <v>2</v>
      </c>
      <c r="G293" s="1" t="s">
        <v>370</v>
      </c>
    </row>
    <row r="294" spans="1:7" ht="15.75" customHeight="1" x14ac:dyDescent="0.25">
      <c r="A294" s="3">
        <v>45103</v>
      </c>
      <c r="B294" s="1" t="s">
        <v>91</v>
      </c>
      <c r="C294" s="1" t="s">
        <v>207</v>
      </c>
      <c r="D294" s="1">
        <v>22.25</v>
      </c>
      <c r="E294" s="1">
        <v>30</v>
      </c>
      <c r="F294" s="1">
        <v>7</v>
      </c>
      <c r="G294" s="1" t="s">
        <v>371</v>
      </c>
    </row>
    <row r="295" spans="1:7" ht="15.75" customHeight="1" x14ac:dyDescent="0.25">
      <c r="A295" s="3">
        <v>45103</v>
      </c>
      <c r="B295" s="1" t="s">
        <v>21</v>
      </c>
      <c r="C295" s="1" t="s">
        <v>112</v>
      </c>
      <c r="D295" s="1">
        <v>12.5</v>
      </c>
      <c r="E295" s="1">
        <v>16</v>
      </c>
      <c r="F295" s="1">
        <v>6</v>
      </c>
      <c r="G295" s="1" t="s">
        <v>372</v>
      </c>
    </row>
    <row r="296" spans="1:7" ht="15.75" customHeight="1" x14ac:dyDescent="0.25">
      <c r="A296" s="3">
        <v>45104</v>
      </c>
      <c r="B296" s="1" t="s">
        <v>91</v>
      </c>
      <c r="C296" s="1" t="s">
        <v>207</v>
      </c>
      <c r="D296" s="1">
        <v>22.25</v>
      </c>
      <c r="E296" s="1">
        <v>30</v>
      </c>
      <c r="F296" s="1">
        <v>9</v>
      </c>
      <c r="G296" s="1" t="s">
        <v>373</v>
      </c>
    </row>
    <row r="297" spans="1:7" ht="15.75" customHeight="1" x14ac:dyDescent="0.25">
      <c r="A297" s="3">
        <v>45104</v>
      </c>
      <c r="B297" s="1" t="s">
        <v>7</v>
      </c>
      <c r="C297" s="1" t="s">
        <v>141</v>
      </c>
      <c r="D297" s="1">
        <v>12.29</v>
      </c>
      <c r="E297" s="1">
        <v>17</v>
      </c>
      <c r="F297" s="1">
        <v>9</v>
      </c>
      <c r="G297" s="1" t="s">
        <v>374</v>
      </c>
    </row>
    <row r="298" spans="1:7" ht="15.75" customHeight="1" x14ac:dyDescent="0.25">
      <c r="A298" s="3">
        <v>45104</v>
      </c>
      <c r="B298" s="1" t="s">
        <v>7</v>
      </c>
      <c r="C298" s="1" t="s">
        <v>52</v>
      </c>
      <c r="D298" s="1">
        <v>14.5</v>
      </c>
      <c r="E298" s="1">
        <v>19</v>
      </c>
      <c r="F298" s="1">
        <v>7</v>
      </c>
      <c r="G298" s="1" t="s">
        <v>375</v>
      </c>
    </row>
    <row r="299" spans="1:7" ht="15.75" customHeight="1" x14ac:dyDescent="0.25">
      <c r="A299" s="3">
        <v>45105</v>
      </c>
      <c r="B299" s="1" t="s">
        <v>30</v>
      </c>
      <c r="C299" s="1" t="s">
        <v>105</v>
      </c>
      <c r="D299" s="1">
        <v>19.829999999999998</v>
      </c>
      <c r="E299" s="1">
        <v>24</v>
      </c>
      <c r="F299" s="1">
        <v>7</v>
      </c>
      <c r="G299" s="1" t="s">
        <v>376</v>
      </c>
    </row>
    <row r="300" spans="1:7" ht="15.75" customHeight="1" x14ac:dyDescent="0.25">
      <c r="A300" s="3">
        <v>45105</v>
      </c>
      <c r="B300" s="1" t="s">
        <v>48</v>
      </c>
      <c r="C300" s="1" t="s">
        <v>150</v>
      </c>
      <c r="D300" s="1">
        <v>39</v>
      </c>
      <c r="E300" s="1">
        <v>45</v>
      </c>
      <c r="F300" s="1">
        <v>6</v>
      </c>
      <c r="G300" s="1" t="s">
        <v>377</v>
      </c>
    </row>
    <row r="301" spans="1:7" ht="15.75" customHeight="1" x14ac:dyDescent="0.25">
      <c r="A301" s="3">
        <v>45105</v>
      </c>
      <c r="B301" s="1" t="s">
        <v>48</v>
      </c>
      <c r="C301" s="1" t="s">
        <v>150</v>
      </c>
      <c r="D301" s="1">
        <v>39</v>
      </c>
      <c r="E301" s="1">
        <v>45</v>
      </c>
      <c r="F301" s="1">
        <v>8</v>
      </c>
      <c r="G301" s="1" t="s">
        <v>378</v>
      </c>
    </row>
    <row r="302" spans="1:7" ht="15.75" customHeight="1" x14ac:dyDescent="0.25">
      <c r="A302" s="3">
        <v>45105</v>
      </c>
      <c r="B302" s="1" t="s">
        <v>45</v>
      </c>
      <c r="C302" s="1" t="s">
        <v>283</v>
      </c>
      <c r="D302" s="1">
        <v>22.5</v>
      </c>
      <c r="E302" s="1">
        <v>28</v>
      </c>
      <c r="F302" s="1">
        <v>7</v>
      </c>
      <c r="G302" s="1" t="s">
        <v>379</v>
      </c>
    </row>
    <row r="303" spans="1:7" ht="15.75" customHeight="1" x14ac:dyDescent="0.25">
      <c r="A303" s="3">
        <v>45105</v>
      </c>
      <c r="B303" s="1" t="s">
        <v>7</v>
      </c>
      <c r="C303" s="1" t="s">
        <v>320</v>
      </c>
      <c r="D303" s="1">
        <v>32</v>
      </c>
      <c r="E303" s="1">
        <v>37</v>
      </c>
      <c r="F303" s="1">
        <v>6</v>
      </c>
      <c r="G303" s="1" t="s">
        <v>380</v>
      </c>
    </row>
    <row r="304" spans="1:7" ht="15.75" customHeight="1" x14ac:dyDescent="0.25">
      <c r="A304" s="3">
        <v>45105</v>
      </c>
      <c r="B304" s="1" t="s">
        <v>7</v>
      </c>
      <c r="C304" s="1" t="s">
        <v>320</v>
      </c>
      <c r="D304" s="1">
        <v>32</v>
      </c>
      <c r="E304" s="1">
        <v>37</v>
      </c>
      <c r="F304" s="1">
        <v>9</v>
      </c>
      <c r="G304" s="1" t="s">
        <v>381</v>
      </c>
    </row>
    <row r="305" spans="1:7" ht="15.75" customHeight="1" x14ac:dyDescent="0.25">
      <c r="A305" s="3">
        <v>45107</v>
      </c>
      <c r="B305" s="1" t="s">
        <v>18</v>
      </c>
      <c r="C305" s="1" t="s">
        <v>355</v>
      </c>
      <c r="D305" s="1">
        <v>13.35</v>
      </c>
      <c r="E305" s="1">
        <v>19</v>
      </c>
      <c r="F305" s="1">
        <v>7</v>
      </c>
      <c r="G305" s="1" t="s">
        <v>382</v>
      </c>
    </row>
    <row r="306" spans="1:7" ht="15.75" customHeight="1" x14ac:dyDescent="0.25">
      <c r="A306" s="3">
        <v>45107</v>
      </c>
      <c r="B306" s="1" t="s">
        <v>14</v>
      </c>
      <c r="C306" s="1" t="s">
        <v>233</v>
      </c>
      <c r="D306" s="1">
        <v>10.75</v>
      </c>
      <c r="E306" s="1">
        <v>14</v>
      </c>
      <c r="F306" s="1">
        <v>7</v>
      </c>
      <c r="G306" s="1" t="s">
        <v>383</v>
      </c>
    </row>
    <row r="307" spans="1:7" ht="15.75" customHeight="1" x14ac:dyDescent="0.25">
      <c r="A307" s="3">
        <v>45107</v>
      </c>
      <c r="B307" s="1" t="s">
        <v>14</v>
      </c>
      <c r="C307" s="1" t="s">
        <v>233</v>
      </c>
      <c r="D307" s="1">
        <v>10.75</v>
      </c>
      <c r="E307" s="1">
        <v>14</v>
      </c>
      <c r="F307" s="1">
        <v>6</v>
      </c>
      <c r="G307" s="1" t="s">
        <v>384</v>
      </c>
    </row>
    <row r="308" spans="1:7" ht="15.75" customHeight="1" x14ac:dyDescent="0.25">
      <c r="A308" s="3">
        <v>45108</v>
      </c>
      <c r="B308" s="1" t="s">
        <v>48</v>
      </c>
      <c r="C308" s="1" t="s">
        <v>49</v>
      </c>
      <c r="D308" s="1">
        <v>38.72</v>
      </c>
      <c r="E308" s="1">
        <v>43</v>
      </c>
      <c r="F308" s="1">
        <v>3</v>
      </c>
      <c r="G308" s="1" t="s">
        <v>385</v>
      </c>
    </row>
    <row r="309" spans="1:7" ht="15.75" customHeight="1" x14ac:dyDescent="0.25">
      <c r="A309" s="3">
        <v>45109</v>
      </c>
      <c r="B309" s="1" t="s">
        <v>18</v>
      </c>
      <c r="C309" s="1" t="s">
        <v>355</v>
      </c>
      <c r="D309" s="1">
        <v>13.35</v>
      </c>
      <c r="E309" s="1">
        <v>19</v>
      </c>
      <c r="F309" s="1">
        <v>1</v>
      </c>
      <c r="G309" s="1" t="s">
        <v>386</v>
      </c>
    </row>
    <row r="310" spans="1:7" ht="15.75" customHeight="1" x14ac:dyDescent="0.25">
      <c r="A310" s="3">
        <v>45109</v>
      </c>
      <c r="B310" s="1" t="s">
        <v>10</v>
      </c>
      <c r="C310" s="1" t="s">
        <v>137</v>
      </c>
      <c r="D310" s="1">
        <v>12.5</v>
      </c>
      <c r="E310" s="1">
        <v>17</v>
      </c>
      <c r="F310" s="1">
        <v>2</v>
      </c>
      <c r="G310" s="1" t="s">
        <v>387</v>
      </c>
    </row>
    <row r="311" spans="1:7" ht="15.75" customHeight="1" x14ac:dyDescent="0.25">
      <c r="A311" s="3">
        <v>45110</v>
      </c>
      <c r="B311" s="1" t="s">
        <v>30</v>
      </c>
      <c r="C311" s="1" t="s">
        <v>119</v>
      </c>
      <c r="D311" s="1">
        <v>14</v>
      </c>
      <c r="E311" s="1">
        <v>19</v>
      </c>
      <c r="F311" s="1">
        <v>8</v>
      </c>
      <c r="G311" s="1" t="s">
        <v>388</v>
      </c>
    </row>
    <row r="312" spans="1:7" ht="15.75" customHeight="1" x14ac:dyDescent="0.25">
      <c r="A312" s="3">
        <v>45110</v>
      </c>
      <c r="B312" s="1" t="s">
        <v>91</v>
      </c>
      <c r="C312" s="1" t="s">
        <v>207</v>
      </c>
      <c r="D312" s="1">
        <v>22.25</v>
      </c>
      <c r="E312" s="1">
        <v>30</v>
      </c>
      <c r="F312" s="1">
        <v>10</v>
      </c>
      <c r="G312" s="1" t="s">
        <v>389</v>
      </c>
    </row>
    <row r="313" spans="1:7" ht="15.75" customHeight="1" x14ac:dyDescent="0.25">
      <c r="A313" s="3">
        <v>45111</v>
      </c>
      <c r="B313" s="1" t="s">
        <v>48</v>
      </c>
      <c r="C313" s="1" t="s">
        <v>49</v>
      </c>
      <c r="D313" s="1">
        <v>38.72</v>
      </c>
      <c r="E313" s="1">
        <v>43</v>
      </c>
      <c r="F313" s="1">
        <v>3</v>
      </c>
      <c r="G313" s="1" t="s">
        <v>390</v>
      </c>
    </row>
    <row r="314" spans="1:7" ht="15.75" customHeight="1" x14ac:dyDescent="0.25">
      <c r="A314" s="3">
        <v>45111</v>
      </c>
      <c r="B314" s="1" t="s">
        <v>21</v>
      </c>
      <c r="C314" s="1" t="s">
        <v>100</v>
      </c>
      <c r="D314" s="1">
        <v>16.170000000000002</v>
      </c>
      <c r="E314" s="1">
        <v>20</v>
      </c>
      <c r="F314" s="1">
        <v>3</v>
      </c>
      <c r="G314" s="1" t="s">
        <v>391</v>
      </c>
    </row>
    <row r="315" spans="1:7" ht="15.75" customHeight="1" x14ac:dyDescent="0.25">
      <c r="A315" s="3">
        <v>45111</v>
      </c>
      <c r="B315" s="1" t="s">
        <v>81</v>
      </c>
      <c r="C315" s="1" t="s">
        <v>85</v>
      </c>
      <c r="D315" s="1">
        <v>2.4500000000000002</v>
      </c>
      <c r="E315" s="1">
        <v>4</v>
      </c>
      <c r="F315" s="1">
        <v>5</v>
      </c>
      <c r="G315" s="1" t="s">
        <v>392</v>
      </c>
    </row>
    <row r="316" spans="1:7" ht="15.75" customHeight="1" x14ac:dyDescent="0.25">
      <c r="A316" s="3">
        <v>45112</v>
      </c>
      <c r="B316" s="1" t="s">
        <v>71</v>
      </c>
      <c r="C316" s="1" t="s">
        <v>161</v>
      </c>
      <c r="D316" s="1">
        <v>48.67</v>
      </c>
      <c r="E316" s="1">
        <v>58</v>
      </c>
      <c r="F316" s="1">
        <v>1</v>
      </c>
      <c r="G316" s="1" t="s">
        <v>393</v>
      </c>
    </row>
    <row r="317" spans="1:7" ht="15.75" customHeight="1" x14ac:dyDescent="0.25">
      <c r="A317" s="3">
        <v>45112</v>
      </c>
      <c r="B317" s="1" t="s">
        <v>10</v>
      </c>
      <c r="C317" s="1" t="s">
        <v>336</v>
      </c>
      <c r="D317" s="1">
        <v>17.170000000000002</v>
      </c>
      <c r="E317" s="1">
        <v>22</v>
      </c>
      <c r="F317" s="1">
        <v>10</v>
      </c>
      <c r="G317" s="1" t="s">
        <v>394</v>
      </c>
    </row>
    <row r="318" spans="1:7" ht="15.75" customHeight="1" x14ac:dyDescent="0.25">
      <c r="A318" s="3">
        <v>45112</v>
      </c>
      <c r="B318" s="1" t="s">
        <v>7</v>
      </c>
      <c r="C318" s="1" t="s">
        <v>94</v>
      </c>
      <c r="D318" s="1">
        <v>9.83</v>
      </c>
      <c r="E318" s="1">
        <v>14</v>
      </c>
      <c r="F318" s="1">
        <v>9</v>
      </c>
      <c r="G318" s="1" t="s">
        <v>395</v>
      </c>
    </row>
    <row r="319" spans="1:7" ht="15.75" customHeight="1" x14ac:dyDescent="0.25">
      <c r="A319" s="3">
        <v>45112</v>
      </c>
      <c r="B319" s="1" t="s">
        <v>7</v>
      </c>
      <c r="C319" s="1" t="s">
        <v>94</v>
      </c>
      <c r="D319" s="1">
        <v>9.83</v>
      </c>
      <c r="E319" s="1">
        <v>14</v>
      </c>
      <c r="F319" s="1">
        <v>6</v>
      </c>
      <c r="G319" s="1" t="s">
        <v>396</v>
      </c>
    </row>
    <row r="320" spans="1:7" ht="15.75" customHeight="1" x14ac:dyDescent="0.25">
      <c r="A320" s="3">
        <v>45113</v>
      </c>
      <c r="B320" s="1" t="s">
        <v>91</v>
      </c>
      <c r="C320" s="1" t="s">
        <v>397</v>
      </c>
      <c r="D320" s="1">
        <v>14</v>
      </c>
      <c r="E320" s="1">
        <v>19</v>
      </c>
      <c r="F320" s="1">
        <v>4</v>
      </c>
      <c r="G320" s="1" t="s">
        <v>398</v>
      </c>
    </row>
    <row r="321" spans="1:7" ht="15.75" customHeight="1" x14ac:dyDescent="0.25">
      <c r="A321" s="3">
        <v>45113</v>
      </c>
      <c r="B321" s="1" t="s">
        <v>10</v>
      </c>
      <c r="C321" s="1" t="s">
        <v>336</v>
      </c>
      <c r="D321" s="1">
        <v>17.170000000000002</v>
      </c>
      <c r="E321" s="1">
        <v>22</v>
      </c>
      <c r="F321" s="1">
        <v>7</v>
      </c>
      <c r="G321" s="1" t="s">
        <v>399</v>
      </c>
    </row>
    <row r="322" spans="1:7" ht="15.75" customHeight="1" x14ac:dyDescent="0.25">
      <c r="A322" s="3">
        <v>45114</v>
      </c>
      <c r="B322" s="1" t="s">
        <v>30</v>
      </c>
      <c r="C322" s="1" t="s">
        <v>105</v>
      </c>
      <c r="D322" s="1">
        <v>19.829999999999998</v>
      </c>
      <c r="E322" s="1">
        <v>24</v>
      </c>
      <c r="F322" s="1">
        <v>4</v>
      </c>
      <c r="G322" s="1" t="s">
        <v>400</v>
      </c>
    </row>
    <row r="323" spans="1:7" ht="15.75" customHeight="1" x14ac:dyDescent="0.25">
      <c r="A323" s="3">
        <v>45114</v>
      </c>
      <c r="B323" s="1" t="s">
        <v>81</v>
      </c>
      <c r="C323" s="1" t="s">
        <v>85</v>
      </c>
      <c r="D323" s="1">
        <v>2.4500000000000002</v>
      </c>
      <c r="E323" s="1">
        <v>4</v>
      </c>
      <c r="F323" s="1">
        <v>10</v>
      </c>
      <c r="G323" s="1" t="s">
        <v>401</v>
      </c>
    </row>
    <row r="324" spans="1:7" ht="15.75" customHeight="1" x14ac:dyDescent="0.25">
      <c r="A324" s="3">
        <v>45114</v>
      </c>
      <c r="B324" s="1" t="s">
        <v>81</v>
      </c>
      <c r="C324" s="1" t="s">
        <v>85</v>
      </c>
      <c r="D324" s="1">
        <v>2.4500000000000002</v>
      </c>
      <c r="E324" s="1">
        <v>4</v>
      </c>
      <c r="F324" s="1">
        <v>5</v>
      </c>
      <c r="G324" s="1" t="s">
        <v>402</v>
      </c>
    </row>
    <row r="325" spans="1:7" ht="15.75" customHeight="1" x14ac:dyDescent="0.25">
      <c r="A325" s="3">
        <v>45114</v>
      </c>
      <c r="B325" s="1" t="s">
        <v>7</v>
      </c>
      <c r="C325" s="1" t="s">
        <v>68</v>
      </c>
      <c r="D325" s="1">
        <v>10.5</v>
      </c>
      <c r="E325" s="1">
        <v>15</v>
      </c>
      <c r="F325" s="1">
        <v>7</v>
      </c>
      <c r="G325" s="1" t="s">
        <v>403</v>
      </c>
    </row>
    <row r="326" spans="1:7" ht="15.75" customHeight="1" x14ac:dyDescent="0.25">
      <c r="A326" s="3">
        <v>45114</v>
      </c>
      <c r="B326" s="1" t="s">
        <v>7</v>
      </c>
      <c r="C326" s="1" t="s">
        <v>68</v>
      </c>
      <c r="D326" s="1">
        <v>10.5</v>
      </c>
      <c r="E326" s="1">
        <v>15</v>
      </c>
      <c r="F326" s="1">
        <v>2</v>
      </c>
      <c r="G326" s="1" t="s">
        <v>404</v>
      </c>
    </row>
    <row r="327" spans="1:7" ht="15.75" customHeight="1" x14ac:dyDescent="0.25">
      <c r="A327" s="3">
        <v>45114</v>
      </c>
      <c r="B327" s="1" t="s">
        <v>7</v>
      </c>
      <c r="C327" s="1" t="s">
        <v>68</v>
      </c>
      <c r="D327" s="1">
        <v>10.5</v>
      </c>
      <c r="E327" s="1">
        <v>15</v>
      </c>
      <c r="F327" s="1">
        <v>8</v>
      </c>
      <c r="G327" s="1" t="s">
        <v>405</v>
      </c>
    </row>
    <row r="328" spans="1:7" ht="15.75" customHeight="1" x14ac:dyDescent="0.25">
      <c r="A328" s="3">
        <v>45114</v>
      </c>
      <c r="B328" s="1" t="s">
        <v>7</v>
      </c>
      <c r="C328" s="1" t="s">
        <v>68</v>
      </c>
      <c r="D328" s="1">
        <v>10.5</v>
      </c>
      <c r="E328" s="1">
        <v>15</v>
      </c>
      <c r="F328" s="1">
        <v>5</v>
      </c>
      <c r="G328" s="1" t="s">
        <v>406</v>
      </c>
    </row>
    <row r="329" spans="1:7" ht="15.75" customHeight="1" x14ac:dyDescent="0.25">
      <c r="A329" s="3">
        <v>45115</v>
      </c>
      <c r="B329" s="1" t="s">
        <v>30</v>
      </c>
      <c r="C329" s="1" t="s">
        <v>31</v>
      </c>
      <c r="D329" s="1">
        <v>20.329999999999998</v>
      </c>
      <c r="E329" s="1">
        <v>25</v>
      </c>
      <c r="F329" s="1">
        <v>2</v>
      </c>
      <c r="G329" s="1" t="s">
        <v>407</v>
      </c>
    </row>
    <row r="330" spans="1:7" ht="15.75" customHeight="1" x14ac:dyDescent="0.25">
      <c r="A330" s="3">
        <v>45115</v>
      </c>
      <c r="B330" s="1" t="s">
        <v>74</v>
      </c>
      <c r="C330" s="1" t="s">
        <v>123</v>
      </c>
      <c r="D330" s="1">
        <v>23.5</v>
      </c>
      <c r="E330" s="1">
        <v>28</v>
      </c>
      <c r="F330" s="1">
        <v>1</v>
      </c>
      <c r="G330" s="1" t="s">
        <v>408</v>
      </c>
    </row>
    <row r="331" spans="1:7" ht="15.75" customHeight="1" x14ac:dyDescent="0.25">
      <c r="A331" s="3">
        <v>45115</v>
      </c>
      <c r="B331" s="1" t="s">
        <v>7</v>
      </c>
      <c r="C331" s="1" t="s">
        <v>8</v>
      </c>
      <c r="D331" s="1">
        <v>8.17</v>
      </c>
      <c r="E331" s="1">
        <v>13</v>
      </c>
      <c r="F331" s="1">
        <v>9</v>
      </c>
      <c r="G331" s="1" t="s">
        <v>409</v>
      </c>
    </row>
    <row r="332" spans="1:7" ht="15.75" customHeight="1" x14ac:dyDescent="0.25">
      <c r="A332" s="3">
        <v>45116</v>
      </c>
      <c r="B332" s="1" t="s">
        <v>30</v>
      </c>
      <c r="C332" s="1" t="s">
        <v>125</v>
      </c>
      <c r="D332" s="1">
        <v>12.33</v>
      </c>
      <c r="E332" s="1">
        <v>17</v>
      </c>
      <c r="F332" s="1">
        <v>10</v>
      </c>
      <c r="G332" s="1" t="s">
        <v>410</v>
      </c>
    </row>
    <row r="333" spans="1:7" ht="15.75" customHeight="1" x14ac:dyDescent="0.25">
      <c r="A333" s="3">
        <v>45116</v>
      </c>
      <c r="B333" s="1" t="s">
        <v>7</v>
      </c>
      <c r="C333" s="1" t="s">
        <v>68</v>
      </c>
      <c r="D333" s="1">
        <v>10.5</v>
      </c>
      <c r="E333" s="1">
        <v>15</v>
      </c>
      <c r="F333" s="1">
        <v>10</v>
      </c>
      <c r="G333" s="1" t="s">
        <v>411</v>
      </c>
    </row>
    <row r="334" spans="1:7" ht="15.75" customHeight="1" x14ac:dyDescent="0.25">
      <c r="A334" s="3">
        <v>45117</v>
      </c>
      <c r="B334" s="1" t="s">
        <v>14</v>
      </c>
      <c r="C334" s="1" t="s">
        <v>15</v>
      </c>
      <c r="D334" s="1">
        <v>10.25</v>
      </c>
      <c r="E334" s="1">
        <v>14</v>
      </c>
      <c r="F334" s="1">
        <v>5</v>
      </c>
      <c r="G334" s="1" t="s">
        <v>412</v>
      </c>
    </row>
    <row r="335" spans="1:7" ht="15.75" customHeight="1" x14ac:dyDescent="0.25">
      <c r="A335" s="3">
        <v>45117</v>
      </c>
      <c r="B335" s="1" t="s">
        <v>14</v>
      </c>
      <c r="C335" s="1" t="s">
        <v>15</v>
      </c>
      <c r="D335" s="1">
        <v>10.25</v>
      </c>
      <c r="E335" s="1">
        <v>14</v>
      </c>
      <c r="F335" s="1">
        <v>3</v>
      </c>
      <c r="G335" s="1" t="s">
        <v>413</v>
      </c>
    </row>
    <row r="336" spans="1:7" ht="15.75" customHeight="1" x14ac:dyDescent="0.25">
      <c r="A336" s="3">
        <v>45117</v>
      </c>
      <c r="B336" s="1" t="s">
        <v>24</v>
      </c>
      <c r="C336" s="1" t="s">
        <v>145</v>
      </c>
      <c r="D336" s="1">
        <v>9.5</v>
      </c>
      <c r="E336" s="1">
        <v>14</v>
      </c>
      <c r="F336" s="1">
        <v>2</v>
      </c>
      <c r="G336" s="1" t="s">
        <v>414</v>
      </c>
    </row>
    <row r="337" spans="1:7" ht="15.75" customHeight="1" x14ac:dyDescent="0.25">
      <c r="A337" s="3">
        <v>45117</v>
      </c>
      <c r="B337" s="1" t="s">
        <v>7</v>
      </c>
      <c r="C337" s="1" t="s">
        <v>133</v>
      </c>
      <c r="D337" s="1">
        <v>10.25</v>
      </c>
      <c r="E337" s="1">
        <v>15</v>
      </c>
      <c r="F337" s="1">
        <v>2</v>
      </c>
      <c r="G337" s="1" t="s">
        <v>415</v>
      </c>
    </row>
    <row r="338" spans="1:7" ht="15.75" customHeight="1" x14ac:dyDescent="0.25">
      <c r="A338" s="3">
        <v>45118</v>
      </c>
      <c r="B338" s="1" t="s">
        <v>45</v>
      </c>
      <c r="C338" s="1" t="s">
        <v>148</v>
      </c>
      <c r="D338" s="1">
        <v>52</v>
      </c>
      <c r="E338" s="1">
        <v>60</v>
      </c>
      <c r="F338" s="1">
        <v>2</v>
      </c>
      <c r="G338" s="1" t="s">
        <v>416</v>
      </c>
    </row>
    <row r="339" spans="1:7" ht="15.75" customHeight="1" x14ac:dyDescent="0.25">
      <c r="A339" s="3">
        <v>45118</v>
      </c>
      <c r="B339" s="1" t="s">
        <v>24</v>
      </c>
      <c r="C339" s="1" t="s">
        <v>109</v>
      </c>
      <c r="D339" s="1">
        <v>10.5</v>
      </c>
      <c r="E339" s="1">
        <v>15</v>
      </c>
      <c r="F339" s="1">
        <v>2</v>
      </c>
      <c r="G339" s="1" t="s">
        <v>417</v>
      </c>
    </row>
    <row r="340" spans="1:7" ht="15.75" customHeight="1" x14ac:dyDescent="0.25">
      <c r="A340" s="3">
        <v>45118</v>
      </c>
      <c r="B340" s="1" t="s">
        <v>24</v>
      </c>
      <c r="C340" s="1" t="s">
        <v>109</v>
      </c>
      <c r="D340" s="1">
        <v>10.5</v>
      </c>
      <c r="E340" s="1">
        <v>15</v>
      </c>
      <c r="F340" s="1">
        <v>9</v>
      </c>
      <c r="G340" s="1" t="s">
        <v>418</v>
      </c>
    </row>
    <row r="341" spans="1:7" ht="15.75" customHeight="1" x14ac:dyDescent="0.25">
      <c r="A341" s="3">
        <v>45118</v>
      </c>
      <c r="B341" s="1" t="s">
        <v>7</v>
      </c>
      <c r="C341" s="1" t="s">
        <v>68</v>
      </c>
      <c r="D341" s="1">
        <v>10.5</v>
      </c>
      <c r="E341" s="1">
        <v>15</v>
      </c>
      <c r="F341" s="1">
        <v>7</v>
      </c>
      <c r="G341" s="1" t="s">
        <v>419</v>
      </c>
    </row>
    <row r="342" spans="1:7" ht="15.75" customHeight="1" x14ac:dyDescent="0.25">
      <c r="A342" s="3">
        <v>45119</v>
      </c>
      <c r="B342" s="1" t="s">
        <v>48</v>
      </c>
      <c r="C342" s="1" t="s">
        <v>199</v>
      </c>
      <c r="D342" s="1">
        <v>35.65</v>
      </c>
      <c r="E342" s="1">
        <v>40</v>
      </c>
      <c r="F342" s="1">
        <v>9</v>
      </c>
      <c r="G342" s="1" t="s">
        <v>420</v>
      </c>
    </row>
    <row r="343" spans="1:7" ht="15.75" customHeight="1" x14ac:dyDescent="0.25">
      <c r="A343" s="3">
        <v>45119</v>
      </c>
      <c r="B343" s="1" t="s">
        <v>48</v>
      </c>
      <c r="C343" s="1" t="s">
        <v>199</v>
      </c>
      <c r="D343" s="1">
        <v>35.65</v>
      </c>
      <c r="E343" s="1">
        <v>40</v>
      </c>
      <c r="F343" s="1">
        <v>9</v>
      </c>
      <c r="G343" s="1" t="s">
        <v>421</v>
      </c>
    </row>
    <row r="344" spans="1:7" ht="15.75" customHeight="1" x14ac:dyDescent="0.25">
      <c r="A344" s="3">
        <v>45119</v>
      </c>
      <c r="B344" s="1" t="s">
        <v>14</v>
      </c>
      <c r="C344" s="1" t="s">
        <v>164</v>
      </c>
      <c r="D344" s="1">
        <v>15.65</v>
      </c>
      <c r="E344" s="1">
        <v>22</v>
      </c>
      <c r="F344" s="1">
        <v>2</v>
      </c>
      <c r="G344" s="1" t="s">
        <v>422</v>
      </c>
    </row>
    <row r="345" spans="1:7" ht="15.75" customHeight="1" x14ac:dyDescent="0.25">
      <c r="A345" s="3">
        <v>45119</v>
      </c>
      <c r="B345" s="1" t="s">
        <v>7</v>
      </c>
      <c r="C345" s="1" t="s">
        <v>131</v>
      </c>
      <c r="D345" s="1">
        <v>8.75</v>
      </c>
      <c r="E345" s="1">
        <v>14</v>
      </c>
      <c r="F345" s="1">
        <v>10</v>
      </c>
      <c r="G345" s="1" t="s">
        <v>423</v>
      </c>
    </row>
    <row r="346" spans="1:7" ht="15.75" customHeight="1" x14ac:dyDescent="0.25">
      <c r="A346" s="3">
        <v>45120</v>
      </c>
      <c r="B346" s="1" t="s">
        <v>74</v>
      </c>
      <c r="C346" s="1" t="s">
        <v>75</v>
      </c>
      <c r="D346" s="1">
        <v>45.24</v>
      </c>
      <c r="E346" s="1">
        <v>65</v>
      </c>
      <c r="F346" s="1">
        <v>3</v>
      </c>
      <c r="G346" s="1" t="s">
        <v>424</v>
      </c>
    </row>
    <row r="347" spans="1:7" ht="15.75" customHeight="1" x14ac:dyDescent="0.25">
      <c r="A347" s="3">
        <v>45120</v>
      </c>
      <c r="B347" s="1" t="s">
        <v>7</v>
      </c>
      <c r="C347" s="1" t="s">
        <v>55</v>
      </c>
      <c r="D347" s="1">
        <v>12</v>
      </c>
      <c r="E347" s="1">
        <v>18</v>
      </c>
      <c r="F347" s="1">
        <v>1</v>
      </c>
      <c r="G347" s="1" t="s">
        <v>425</v>
      </c>
    </row>
    <row r="348" spans="1:7" ht="15.75" customHeight="1" x14ac:dyDescent="0.25">
      <c r="A348" s="3">
        <v>45121</v>
      </c>
      <c r="B348" s="1" t="s">
        <v>74</v>
      </c>
      <c r="C348" s="1" t="s">
        <v>75</v>
      </c>
      <c r="D348" s="1">
        <v>45.24</v>
      </c>
      <c r="E348" s="1">
        <v>65</v>
      </c>
      <c r="F348" s="1">
        <v>8</v>
      </c>
      <c r="G348" s="1" t="s">
        <v>426</v>
      </c>
    </row>
    <row r="349" spans="1:7" ht="15.75" customHeight="1" x14ac:dyDescent="0.25">
      <c r="A349" s="3">
        <v>45121</v>
      </c>
      <c r="B349" s="1" t="s">
        <v>81</v>
      </c>
      <c r="C349" s="1" t="s">
        <v>82</v>
      </c>
      <c r="D349" s="1">
        <v>1.25</v>
      </c>
      <c r="E349" s="1">
        <v>3</v>
      </c>
      <c r="F349" s="1">
        <v>9</v>
      </c>
      <c r="G349" s="1" t="s">
        <v>427</v>
      </c>
    </row>
    <row r="350" spans="1:7" ht="15.75" customHeight="1" x14ac:dyDescent="0.25">
      <c r="A350" s="3">
        <v>45122</v>
      </c>
      <c r="B350" s="1" t="s">
        <v>14</v>
      </c>
      <c r="C350" s="1" t="s">
        <v>15</v>
      </c>
      <c r="D350" s="1">
        <v>10.25</v>
      </c>
      <c r="E350" s="1">
        <v>14</v>
      </c>
      <c r="F350" s="1">
        <v>6</v>
      </c>
      <c r="G350" s="1" t="s">
        <v>428</v>
      </c>
    </row>
    <row r="351" spans="1:7" ht="15.75" customHeight="1" x14ac:dyDescent="0.25">
      <c r="A351" s="3">
        <v>45122</v>
      </c>
      <c r="B351" s="1" t="s">
        <v>10</v>
      </c>
      <c r="C351" s="1" t="s">
        <v>37</v>
      </c>
      <c r="D351" s="1">
        <v>13.83</v>
      </c>
      <c r="E351" s="1">
        <v>18</v>
      </c>
      <c r="F351" s="1">
        <v>5</v>
      </c>
      <c r="G351" s="1" t="s">
        <v>429</v>
      </c>
    </row>
    <row r="352" spans="1:7" ht="15.75" customHeight="1" x14ac:dyDescent="0.25">
      <c r="A352" s="3">
        <v>45122</v>
      </c>
      <c r="B352" s="1" t="s">
        <v>81</v>
      </c>
      <c r="C352" s="1" t="s">
        <v>121</v>
      </c>
      <c r="D352" s="1">
        <v>3.15</v>
      </c>
      <c r="E352" s="1">
        <v>5</v>
      </c>
      <c r="F352" s="1">
        <v>6</v>
      </c>
      <c r="G352" s="1" t="s">
        <v>430</v>
      </c>
    </row>
    <row r="353" spans="1:7" ht="15.75" customHeight="1" x14ac:dyDescent="0.25">
      <c r="A353" s="3">
        <v>45123</v>
      </c>
      <c r="B353" s="1" t="s">
        <v>7</v>
      </c>
      <c r="C353" s="1" t="s">
        <v>89</v>
      </c>
      <c r="D353" s="1">
        <v>12</v>
      </c>
      <c r="E353" s="1">
        <v>17</v>
      </c>
      <c r="F353" s="1">
        <v>8</v>
      </c>
      <c r="G353" s="1" t="s">
        <v>431</v>
      </c>
    </row>
    <row r="354" spans="1:7" ht="15.75" customHeight="1" x14ac:dyDescent="0.25">
      <c r="A354" s="3">
        <v>45124</v>
      </c>
      <c r="B354" s="1" t="s">
        <v>30</v>
      </c>
      <c r="C354" s="1" t="s">
        <v>125</v>
      </c>
      <c r="D354" s="1">
        <v>12.33</v>
      </c>
      <c r="E354" s="1">
        <v>17</v>
      </c>
      <c r="F354" s="1">
        <v>6</v>
      </c>
      <c r="G354" s="1" t="s">
        <v>432</v>
      </c>
    </row>
    <row r="355" spans="1:7" ht="15.75" customHeight="1" x14ac:dyDescent="0.25">
      <c r="A355" s="3">
        <v>45124</v>
      </c>
      <c r="B355" s="1" t="s">
        <v>21</v>
      </c>
      <c r="C355" s="1" t="s">
        <v>28</v>
      </c>
      <c r="D355" s="1">
        <v>21.17</v>
      </c>
      <c r="E355" s="1">
        <v>25</v>
      </c>
      <c r="F355" s="1">
        <v>10</v>
      </c>
      <c r="G355" s="1" t="s">
        <v>433</v>
      </c>
    </row>
    <row r="356" spans="1:7" ht="15.75" customHeight="1" x14ac:dyDescent="0.25">
      <c r="A356" s="3">
        <v>45125</v>
      </c>
      <c r="B356" s="1" t="s">
        <v>91</v>
      </c>
      <c r="C356" s="1" t="s">
        <v>179</v>
      </c>
      <c r="D356" s="1">
        <v>14.7</v>
      </c>
      <c r="E356" s="1">
        <v>19</v>
      </c>
      <c r="F356" s="1">
        <v>4</v>
      </c>
      <c r="G356" s="1" t="s">
        <v>434</v>
      </c>
    </row>
    <row r="357" spans="1:7" ht="15.75" customHeight="1" x14ac:dyDescent="0.25">
      <c r="A357" s="3">
        <v>45125</v>
      </c>
      <c r="B357" s="1" t="s">
        <v>45</v>
      </c>
      <c r="C357" s="1" t="s">
        <v>46</v>
      </c>
      <c r="D357" s="1">
        <v>12</v>
      </c>
      <c r="E357" s="1">
        <v>17</v>
      </c>
      <c r="F357" s="1">
        <v>7</v>
      </c>
      <c r="G357" s="1" t="s">
        <v>435</v>
      </c>
    </row>
    <row r="358" spans="1:7" ht="15.75" customHeight="1" x14ac:dyDescent="0.25">
      <c r="A358" s="3">
        <v>45126</v>
      </c>
      <c r="B358" s="1" t="s">
        <v>18</v>
      </c>
      <c r="C358" s="1" t="s">
        <v>153</v>
      </c>
      <c r="D358" s="1">
        <v>12.5</v>
      </c>
      <c r="E358" s="1">
        <v>18</v>
      </c>
      <c r="F358" s="1">
        <v>4</v>
      </c>
      <c r="G358" s="1" t="s">
        <v>436</v>
      </c>
    </row>
    <row r="359" spans="1:7" ht="15.75" customHeight="1" x14ac:dyDescent="0.25">
      <c r="A359" s="3">
        <v>45126</v>
      </c>
      <c r="B359" s="1" t="s">
        <v>18</v>
      </c>
      <c r="C359" s="1" t="s">
        <v>355</v>
      </c>
      <c r="D359" s="1">
        <v>13.35</v>
      </c>
      <c r="E359" s="1">
        <v>19</v>
      </c>
      <c r="F359" s="1">
        <v>8</v>
      </c>
      <c r="G359" s="1" t="s">
        <v>437</v>
      </c>
    </row>
    <row r="360" spans="1:7" ht="15.75" customHeight="1" x14ac:dyDescent="0.25">
      <c r="A360" s="3">
        <v>45126</v>
      </c>
      <c r="B360" s="1" t="s">
        <v>21</v>
      </c>
      <c r="C360" s="1" t="s">
        <v>100</v>
      </c>
      <c r="D360" s="1">
        <v>16.170000000000002</v>
      </c>
      <c r="E360" s="1">
        <v>20</v>
      </c>
      <c r="F360" s="1">
        <v>5</v>
      </c>
      <c r="G360" s="1" t="s">
        <v>438</v>
      </c>
    </row>
    <row r="361" spans="1:7" ht="15.75" customHeight="1" x14ac:dyDescent="0.25">
      <c r="A361" s="3">
        <v>45127</v>
      </c>
      <c r="B361" s="1" t="s">
        <v>81</v>
      </c>
      <c r="C361" s="1" t="s">
        <v>82</v>
      </c>
      <c r="D361" s="1">
        <v>1.25</v>
      </c>
      <c r="E361" s="1">
        <v>3</v>
      </c>
      <c r="F361" s="1">
        <v>9</v>
      </c>
      <c r="G361" s="1" t="s">
        <v>439</v>
      </c>
    </row>
    <row r="362" spans="1:7" ht="15.75" customHeight="1" x14ac:dyDescent="0.25">
      <c r="A362" s="3">
        <v>45128</v>
      </c>
      <c r="B362" s="1" t="s">
        <v>30</v>
      </c>
      <c r="C362" s="1" t="s">
        <v>31</v>
      </c>
      <c r="D362" s="1">
        <v>20.329999999999998</v>
      </c>
      <c r="E362" s="1">
        <v>25</v>
      </c>
      <c r="F362" s="1">
        <v>6</v>
      </c>
      <c r="G362" s="1" t="s">
        <v>440</v>
      </c>
    </row>
    <row r="363" spans="1:7" ht="15.75" customHeight="1" x14ac:dyDescent="0.25">
      <c r="A363" s="3">
        <v>45128</v>
      </c>
      <c r="B363" s="1" t="s">
        <v>74</v>
      </c>
      <c r="C363" s="1" t="s">
        <v>78</v>
      </c>
      <c r="D363" s="1">
        <v>13</v>
      </c>
      <c r="E363" s="1">
        <v>18</v>
      </c>
      <c r="F363" s="1">
        <v>9</v>
      </c>
      <c r="G363" s="1" t="s">
        <v>441</v>
      </c>
    </row>
    <row r="364" spans="1:7" ht="15.75" customHeight="1" x14ac:dyDescent="0.25">
      <c r="A364" s="3">
        <v>45128</v>
      </c>
      <c r="B364" s="1" t="s">
        <v>7</v>
      </c>
      <c r="C364" s="1" t="s">
        <v>39</v>
      </c>
      <c r="D364" s="1">
        <v>7.83</v>
      </c>
      <c r="E364" s="1">
        <v>12</v>
      </c>
      <c r="F364" s="1">
        <v>2</v>
      </c>
      <c r="G364" s="1" t="s">
        <v>442</v>
      </c>
    </row>
    <row r="365" spans="1:7" ht="15.75" customHeight="1" x14ac:dyDescent="0.25">
      <c r="A365" s="3">
        <v>45129</v>
      </c>
      <c r="B365" s="1" t="s">
        <v>21</v>
      </c>
      <c r="C365" s="1" t="s">
        <v>112</v>
      </c>
      <c r="D365" s="1">
        <v>12.5</v>
      </c>
      <c r="E365" s="1">
        <v>16</v>
      </c>
      <c r="F365" s="1">
        <v>6</v>
      </c>
      <c r="G365" s="1" t="s">
        <v>443</v>
      </c>
    </row>
    <row r="366" spans="1:7" ht="15.75" customHeight="1" x14ac:dyDescent="0.25">
      <c r="A366" s="3">
        <v>45129</v>
      </c>
      <c r="B366" s="1" t="s">
        <v>21</v>
      </c>
      <c r="C366" s="1" t="s">
        <v>28</v>
      </c>
      <c r="D366" s="1">
        <v>21.17</v>
      </c>
      <c r="E366" s="1">
        <v>25</v>
      </c>
      <c r="F366" s="1">
        <v>6</v>
      </c>
      <c r="G366" s="1" t="s">
        <v>444</v>
      </c>
    </row>
    <row r="367" spans="1:7" ht="15.75" customHeight="1" x14ac:dyDescent="0.25">
      <c r="A367" s="3">
        <v>45129</v>
      </c>
      <c r="B367" s="1" t="s">
        <v>7</v>
      </c>
      <c r="C367" s="1" t="s">
        <v>133</v>
      </c>
      <c r="D367" s="1">
        <v>10.25</v>
      </c>
      <c r="E367" s="1">
        <v>15</v>
      </c>
      <c r="F367" s="1">
        <v>2</v>
      </c>
      <c r="G367" s="1" t="s">
        <v>445</v>
      </c>
    </row>
    <row r="368" spans="1:7" ht="15.75" customHeight="1" x14ac:dyDescent="0.25">
      <c r="A368" s="3">
        <v>45129</v>
      </c>
      <c r="B368" s="1" t="s">
        <v>7</v>
      </c>
      <c r="C368" s="1" t="s">
        <v>133</v>
      </c>
      <c r="D368" s="1">
        <v>10.25</v>
      </c>
      <c r="E368" s="1">
        <v>15</v>
      </c>
      <c r="F368" s="1">
        <v>9</v>
      </c>
      <c r="G368" s="1" t="s">
        <v>446</v>
      </c>
    </row>
    <row r="369" spans="1:7" ht="15.75" customHeight="1" x14ac:dyDescent="0.25">
      <c r="A369" s="3">
        <v>45129</v>
      </c>
      <c r="B369" s="1" t="s">
        <v>7</v>
      </c>
      <c r="C369" s="1" t="s">
        <v>133</v>
      </c>
      <c r="D369" s="1">
        <v>10.25</v>
      </c>
      <c r="E369" s="1">
        <v>15</v>
      </c>
      <c r="F369" s="1">
        <v>6</v>
      </c>
      <c r="G369" s="1" t="s">
        <v>447</v>
      </c>
    </row>
    <row r="370" spans="1:7" ht="15.75" customHeight="1" x14ac:dyDescent="0.25">
      <c r="A370" s="3">
        <v>45129</v>
      </c>
      <c r="B370" s="1" t="s">
        <v>7</v>
      </c>
      <c r="C370" s="1" t="s">
        <v>133</v>
      </c>
      <c r="D370" s="1">
        <v>10.25</v>
      </c>
      <c r="E370" s="1">
        <v>15</v>
      </c>
      <c r="F370" s="1">
        <v>4</v>
      </c>
      <c r="G370" s="1" t="s">
        <v>448</v>
      </c>
    </row>
    <row r="371" spans="1:7" ht="15.75" customHeight="1" x14ac:dyDescent="0.25">
      <c r="A371" s="3">
        <v>45130</v>
      </c>
      <c r="B371" s="1" t="s">
        <v>18</v>
      </c>
      <c r="C371" s="1" t="s">
        <v>355</v>
      </c>
      <c r="D371" s="1">
        <v>13.35</v>
      </c>
      <c r="E371" s="1">
        <v>19</v>
      </c>
      <c r="F371" s="1">
        <v>2</v>
      </c>
      <c r="G371" s="1" t="s">
        <v>449</v>
      </c>
    </row>
    <row r="372" spans="1:7" ht="15.75" customHeight="1" x14ac:dyDescent="0.25">
      <c r="A372" s="3">
        <v>45131</v>
      </c>
      <c r="B372" s="1" t="s">
        <v>7</v>
      </c>
      <c r="C372" s="1" t="s">
        <v>68</v>
      </c>
      <c r="D372" s="1">
        <v>10.5</v>
      </c>
      <c r="E372" s="1">
        <v>15</v>
      </c>
      <c r="F372" s="1">
        <v>5</v>
      </c>
      <c r="G372" s="1" t="s">
        <v>450</v>
      </c>
    </row>
    <row r="373" spans="1:7" ht="15.75" customHeight="1" x14ac:dyDescent="0.25">
      <c r="A373" s="3">
        <v>45133</v>
      </c>
      <c r="B373" s="1" t="s">
        <v>14</v>
      </c>
      <c r="C373" s="1" t="s">
        <v>192</v>
      </c>
      <c r="D373" s="1">
        <v>12.5</v>
      </c>
      <c r="E373" s="1">
        <v>18</v>
      </c>
      <c r="F373" s="1">
        <v>5</v>
      </c>
      <c r="G373" s="1" t="s">
        <v>451</v>
      </c>
    </row>
    <row r="374" spans="1:7" ht="15.75" customHeight="1" x14ac:dyDescent="0.25">
      <c r="A374" s="3">
        <v>45133</v>
      </c>
      <c r="B374" s="1" t="s">
        <v>14</v>
      </c>
      <c r="C374" s="1" t="s">
        <v>192</v>
      </c>
      <c r="D374" s="1">
        <v>12.5</v>
      </c>
      <c r="E374" s="1">
        <v>18</v>
      </c>
      <c r="F374" s="1">
        <v>9</v>
      </c>
      <c r="G374" s="1" t="s">
        <v>452</v>
      </c>
    </row>
    <row r="375" spans="1:7" ht="15.75" customHeight="1" x14ac:dyDescent="0.25">
      <c r="A375" s="3">
        <v>45134</v>
      </c>
      <c r="B375" s="1" t="s">
        <v>18</v>
      </c>
      <c r="C375" s="1" t="s">
        <v>153</v>
      </c>
      <c r="D375" s="1">
        <v>12.5</v>
      </c>
      <c r="E375" s="1">
        <v>18</v>
      </c>
      <c r="F375" s="1">
        <v>3</v>
      </c>
      <c r="G375" s="1" t="s">
        <v>453</v>
      </c>
    </row>
    <row r="376" spans="1:7" ht="15.75" customHeight="1" x14ac:dyDescent="0.25">
      <c r="A376" s="3">
        <v>45136</v>
      </c>
      <c r="B376" s="1" t="s">
        <v>91</v>
      </c>
      <c r="C376" s="1" t="s">
        <v>397</v>
      </c>
      <c r="D376" s="1">
        <v>14</v>
      </c>
      <c r="E376" s="1">
        <v>19</v>
      </c>
      <c r="F376" s="1">
        <v>9</v>
      </c>
      <c r="G376" s="1" t="s">
        <v>454</v>
      </c>
    </row>
    <row r="377" spans="1:7" ht="15.75" customHeight="1" x14ac:dyDescent="0.25">
      <c r="A377" s="3">
        <v>45136</v>
      </c>
      <c r="B377" s="1" t="s">
        <v>7</v>
      </c>
      <c r="C377" s="1" t="s">
        <v>89</v>
      </c>
      <c r="D377" s="1">
        <v>12</v>
      </c>
      <c r="E377" s="1">
        <v>17</v>
      </c>
      <c r="F377" s="1">
        <v>7</v>
      </c>
      <c r="G377" s="1" t="s">
        <v>455</v>
      </c>
    </row>
    <row r="378" spans="1:7" ht="15.75" customHeight="1" x14ac:dyDescent="0.25">
      <c r="A378" s="3">
        <v>45137</v>
      </c>
      <c r="B378" s="1" t="s">
        <v>71</v>
      </c>
      <c r="C378" s="1" t="s">
        <v>72</v>
      </c>
      <c r="D378" s="1">
        <v>22</v>
      </c>
      <c r="E378" s="1">
        <v>27</v>
      </c>
      <c r="F378" s="1">
        <v>2</v>
      </c>
      <c r="G378" s="1" t="s">
        <v>456</v>
      </c>
    </row>
    <row r="379" spans="1:7" ht="15.75" customHeight="1" x14ac:dyDescent="0.25"/>
    <row r="380" spans="1:7" ht="15.75" customHeight="1" x14ac:dyDescent="0.25"/>
    <row r="381" spans="1:7" ht="15.75" customHeight="1" x14ac:dyDescent="0.25"/>
    <row r="382" spans="1:7" ht="15.75" customHeight="1" x14ac:dyDescent="0.25"/>
    <row r="383" spans="1:7" ht="15.75" customHeight="1" x14ac:dyDescent="0.25"/>
    <row r="384" spans="1:7"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2BD37E7-5040-4E74-A7C6-A14E890B7DDD}">
  <ds:schemaRefs>
    <ds:schemaRef ds:uri="http://www.w3.org/2001/XMLSchem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DASHBOARD</vt:lpstr>
      <vt:lpstr>sale_data duplicate</vt:lpstr>
      <vt:lpstr>Tables_charts</vt:lpstr>
      <vt:lpstr>sale-data raw file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nitsuuu</dc:creator>
  <cp:lastModifiedBy>User</cp:lastModifiedBy>
  <dcterms:created xsi:type="dcterms:W3CDTF">2023-07-24T11:57:04Z</dcterms:created>
  <dcterms:modified xsi:type="dcterms:W3CDTF">2026-05-07T03:52:38Z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2023-07-24T22:48:34Z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817bed35-eab4-4e46-8835-6a87f1e9cc5c</vt:lpwstr>
  </property>
  <property fmtid="{D5CDD505-2E9C-101B-9397-08002B2CF9AE}" pid="7" name="MSIP_Label_defa4170-0d19-0005-0004-bc88714345d2_ActionId">
    <vt:lpwstr>5daf74b4-f3a2-427c-b2e2-93ece88109ac</vt:lpwstr>
  </property>
  <property fmtid="{D5CDD505-2E9C-101B-9397-08002B2CF9AE}" pid="8" name="MSIP_Label_defa4170-0d19-0005-0004-bc88714345d2_ContentBits">
    <vt:lpwstr>0</vt:lpwstr>
  </property>
  <property fmtid="{D5CDD505-2E9C-101B-9397-08002B2CF9AE}" pid="9" name="PlanSwiftJobName">
    <vt:lpwstr/>
  </property>
  <property fmtid="{D5CDD505-2E9C-101B-9397-08002B2CF9AE}" pid="10" name="PlanSwiftJobGuid">
    <vt:lpwstr/>
  </property>
  <property fmtid="{D5CDD505-2E9C-101B-9397-08002B2CF9AE}" pid="11" name="LinkedDataId">
    <vt:lpwstr>{B2BD37E7-5040-4E74-A7C6-A14E890B7DDD}</vt:lpwstr>
  </property>
</Properties>
</file>